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22dec45d0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47ec649215cf4cfe"/>
    <x:sheet xmlns:r="http://schemas.openxmlformats.org/officeDocument/2006/relationships" name="Projects" sheetId="2" r:id="R0e044acfecf742d6"/>
    <x:sheet xmlns:r="http://schemas.openxmlformats.org/officeDocument/2006/relationships" name="Timesheets" sheetId="3" r:id="Reeac191052654701"/>
    <x:sheet xmlns:r="http://schemas.openxmlformats.org/officeDocument/2006/relationships" name="Invoices" sheetId="4" r:id="Rb27e082e6d6e42f6"/>
    <x:sheet xmlns:r="http://schemas.openxmlformats.org/officeDocument/2006/relationships" name="Dashboard" sheetId="5" r:id="R3823b7699d7e494f"/>
    <x:sheet xmlns:r="http://schemas.openxmlformats.org/officeDocument/2006/relationships" name="Guide" sheetId="6" r:id="R4f88c99660f7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1"/>
      <x:color rgb="FF273449"/>
      <x:name val="Carlito"/>
    </x:font>
    <x:font>
      <x:sz val="11"/>
      <x:color rgb="FF087F8C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F"/>
      </x:patternFill>
    </x:fill>
    <x:fill>
      <x:patternFill patternType="solid">
        <x:fgColor rgb="FFEAF4F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51c0cd0f54d04" /><Relationship Type="http://schemas.openxmlformats.org/officeDocument/2006/relationships/theme" Target="/xl/theme/theme1.xml" Id="Rbe8fdf6651164824" /><Relationship Type="http://schemas.openxmlformats.org/officeDocument/2006/relationships/sharedStrings" Target="/xl/sharedStrings.xml" Id="R8a0120a70c1b49fa" /><Relationship Type="http://schemas.openxmlformats.org/officeDocument/2006/relationships/worksheet" Target="/xl/worksheets/sheet1.xml" Id="R47ec649215cf4cfe" /><Relationship Type="http://schemas.openxmlformats.org/officeDocument/2006/relationships/worksheet" Target="/xl/worksheets/sheet2.xml" Id="R0e044acfecf742d6" /><Relationship Type="http://schemas.openxmlformats.org/officeDocument/2006/relationships/worksheet" Target="/xl/worksheets/sheet3.xml" Id="Reeac191052654701" /><Relationship Type="http://schemas.openxmlformats.org/officeDocument/2006/relationships/worksheet" Target="/xl/worksheets/sheet4.xml" Id="Rb27e082e6d6e42f6" /><Relationship Type="http://schemas.openxmlformats.org/officeDocument/2006/relationships/worksheet" Target="/xl/worksheets/sheet5.xml" Id="R3823b7699d7e494f" /><Relationship Type="http://schemas.openxmlformats.org/officeDocument/2006/relationships/worksheet" Target="/xl/worksheets/sheet6.xml" Id="R4f88c99660f7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e0823ca27545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Billable EUR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Billable EUR</c:v>
          </c:tx>
          <c:marker>
            <c:symbol val="none"/>
          </c:marke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'Dashboard'!$B$16:$B$27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e0823ca27545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9d3ca735bbe4cf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0" hidden="0" customWidth="1"/>
    <x:col min="4" max="4" width="27" hidden="0" customWidth="1"/>
    <x:col min="5" max="5" width="16" hidden="0" customWidth="1"/>
  </x:cols>
  <x:sheetData>
    <x:row r="1" ht="21" customHeight="1">
      <x:c r="A1" s="3" t="str">
        <x:v>Client ID</x:v>
      </x:c>
      <x:c r="B1" s="3" t="str">
        <x:v>Company</x:v>
      </x:c>
      <x:c r="C1" s="3" t="str">
        <x:v>Industry</x:v>
      </x:c>
      <x:c r="D1" s="3" t="str">
        <x:v>Contact</x:v>
      </x:c>
      <x:c r="E1" s="3" t="str">
        <x:v>Country</x:v>
      </x:c>
    </x:row>
    <x:row r="2" ht="21" customHeight="1">
      <x:c r="A2" t="str">
        <x:v>C001</x:v>
      </x:c>
      <x:c r="B2" t="str">
        <x:v>Northwind Studio</x:v>
      </x:c>
      <x:c r="C2" t="str">
        <x:v>Tech</x:v>
      </x:c>
      <x:c r="D2" t="str">
        <x:v>contact1@example.org</x:v>
      </x:c>
      <x:c r="E2" t="str">
        <x:v>UK</x:v>
      </x:c>
    </x:row>
    <x:row r="3" ht="21" customHeight="1">
      <x:c r="A3" t="str">
        <x:v>C002</x:v>
      </x:c>
      <x:c r="B3" t="str">
        <x:v>Evergreen Labs</x:v>
      </x:c>
      <x:c r="C3" t="str">
        <x:v>Retail</x:v>
      </x:c>
      <x:c r="D3" t="str">
        <x:v>contact2@example.org</x:v>
      </x:c>
      <x:c r="E3" t="str">
        <x:v>USA</x:v>
      </x:c>
    </x:row>
    <x:row r="4" ht="21" customHeight="1">
      <x:c r="A4" t="str">
        <x:v>C003</x:v>
      </x:c>
      <x:c r="B4" t="str">
        <x:v>Bluefin Retail</x:v>
      </x:c>
      <x:c r="C4" t="str">
        <x:v>Consulting</x:v>
      </x:c>
      <x:c r="D4" t="str">
        <x:v>contact3@example.org</x:v>
      </x:c>
      <x:c r="E4" t="str">
        <x:v>Italy</x:v>
      </x:c>
    </x:row>
    <x:row r="5" ht="21" customHeight="1">
      <x:c r="A5" t="str">
        <x:v>C004</x:v>
      </x:c>
      <x:c r="B5" t="str">
        <x:v>Nova Consulting</x:v>
      </x:c>
      <x:c r="C5" t="str">
        <x:v>Design</x:v>
      </x:c>
      <x:c r="D5" t="str">
        <x:v>contact4@example.org</x:v>
      </x:c>
      <x:c r="E5" t="str">
        <x:v>UK</x:v>
      </x:c>
    </x:row>
    <x:row r="6" ht="21" customHeight="1">
      <x:c r="A6" t="str">
        <x:v>C005</x:v>
      </x:c>
      <x:c r="B6" t="str">
        <x:v>Cedar Digital</x:v>
      </x:c>
      <x:c r="C6" t="str">
        <x:v>Tech</x:v>
      </x:c>
      <x:c r="D6" t="str">
        <x:v>contact5@example.org</x:v>
      </x:c>
      <x:c r="E6" t="str">
        <x:v>USA</x:v>
      </x:c>
    </x:row>
    <x:row r="7" ht="21" customHeight="1">
      <x:c r="A7" t="str">
        <x:v>C006</x:v>
      </x:c>
      <x:c r="B7" t="str">
        <x:v>Maple Works</x:v>
      </x:c>
      <x:c r="C7" t="str">
        <x:v>Retail</x:v>
      </x:c>
      <x:c r="D7" t="str">
        <x:v>contact6@example.org</x:v>
      </x:c>
      <x:c r="E7" t="str">
        <x:v>Italy</x:v>
      </x:c>
    </x:row>
    <x:row r="8" ht="21" customHeight="1">
      <x:c r="A8" t="str">
        <x:v>C007</x:v>
      </x:c>
      <x:c r="B8" t="str">
        <x:v>Urban Bloom</x:v>
      </x:c>
      <x:c r="C8" t="str">
        <x:v>Consulting</x:v>
      </x:c>
      <x:c r="D8" t="str">
        <x:v>contact7@example.org</x:v>
      </x:c>
      <x:c r="E8" t="str">
        <x:v>UK</x:v>
      </x:c>
    </x:row>
    <x:row r="9" ht="21" customHeight="1">
      <x:c r="A9" t="str">
        <x:v>C008</x:v>
      </x:c>
      <x:c r="B9" t="str">
        <x:v>BrightPath</x:v>
      </x:c>
      <x:c r="C9" t="str">
        <x:v>Design</x:v>
      </x:c>
      <x:c r="D9" t="str">
        <x:v>contact8@example.org</x:v>
      </x:c>
      <x:c r="E9" t="str">
        <x:v>USA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19" hidden="0" customWidth="1"/>
    <x:col min="5" max="5" width="17" hidden="0" customWidth="1"/>
    <x:col min="6" max="6" width="20" hidden="0" customWidth="1"/>
    <x:col min="7" max="7" width="19" hidden="0" customWidth="1"/>
  </x:cols>
  <x:sheetData>
    <x:row r="1" ht="21" customHeight="1">
      <x:c r="A1" s="3" t="str">
        <x:v>Project ID</x:v>
      </x:c>
      <x:c r="B1" s="3" t="str">
        <x:v>Client ID</x:v>
      </x:c>
      <x:c r="C1" s="3" t="str">
        <x:v>Project</x:v>
      </x:c>
      <x:c r="D1" s="3" t="str">
        <x:v>Service</x:v>
      </x:c>
      <x:c r="E1" s="3" t="str">
        <x:v>Status</x:v>
      </x:c>
      <x:c r="F1" s="3" t="str">
        <x:v>Hourly Rate EUR</x:v>
      </x:c>
      <x:c r="G1" s="3" t="str">
        <x:v>Planned Hours</x:v>
      </x:c>
    </x:row>
    <x:row r="2" ht="21" customHeight="1">
      <x:c r="A2" t="str">
        <x:v>P001</x:v>
      </x:c>
      <x:c r="B2" t="str">
        <x:v>C001</x:v>
      </x:c>
      <x:c r="C2" t="str">
        <x:v>Engagement 01</x:v>
      </x:c>
      <x:c r="D2" t="str">
        <x:v>Reporting</x:v>
      </x:c>
      <x:c r="E2" t="str">
        <x:v>Completed</x:v>
      </x:c>
      <x:c r="F2" s="6" t="n">
        <x:v>80</x:v>
      </x:c>
      <x:c r="G2" t="n">
        <x:v>16</x:v>
      </x:c>
    </x:row>
    <x:row r="3" ht="21" customHeight="1">
      <x:c r="A3" t="str">
        <x:v>P002</x:v>
      </x:c>
      <x:c r="B3" t="str">
        <x:v>C002</x:v>
      </x:c>
      <x:c r="C3" t="str">
        <x:v>Engagement 02</x:v>
      </x:c>
      <x:c r="D3" t="str">
        <x:v>Automation</x:v>
      </x:c>
      <x:c r="E3" t="str">
        <x:v>On Hold</x:v>
      </x:c>
      <x:c r="F3" s="6" t="n">
        <x:v>95</x:v>
      </x:c>
      <x:c r="G3" t="n">
        <x:v>20</x:v>
      </x:c>
    </x:row>
    <x:row r="4" ht="21" customHeight="1">
      <x:c r="A4" t="str">
        <x:v>P003</x:v>
      </x:c>
      <x:c r="B4" t="str">
        <x:v>C003</x:v>
      </x:c>
      <x:c r="C4" t="str">
        <x:v>Engagement 03</x:v>
      </x:c>
      <x:c r="D4" t="str">
        <x:v>Research</x:v>
      </x:c>
      <x:c r="E4" t="str">
        <x:v>Active</x:v>
      </x:c>
      <x:c r="F4" s="6" t="n">
        <x:v>110</x:v>
      </x:c>
      <x:c r="G4" t="n">
        <x:v>24</x:v>
      </x:c>
    </x:row>
    <x:row r="5" ht="21" customHeight="1">
      <x:c r="A5" t="str">
        <x:v>P004</x:v>
      </x:c>
      <x:c r="B5" t="str">
        <x:v>C004</x:v>
      </x:c>
      <x:c r="C5" t="str">
        <x:v>Engagement 04</x:v>
      </x:c>
      <x:c r="D5" t="str">
        <x:v>Analytics</x:v>
      </x:c>
      <x:c r="E5" t="str">
        <x:v>Completed</x:v>
      </x:c>
      <x:c r="F5" s="6" t="n">
        <x:v>125</x:v>
      </x:c>
      <x:c r="G5" t="n">
        <x:v>28</x:v>
      </x:c>
    </x:row>
    <x:row r="6" ht="21" customHeight="1">
      <x:c r="A6" t="str">
        <x:v>P005</x:v>
      </x:c>
      <x:c r="B6" t="str">
        <x:v>C005</x:v>
      </x:c>
      <x:c r="C6" t="str">
        <x:v>Engagement 05</x:v>
      </x:c>
      <x:c r="D6" t="str">
        <x:v>Reporting</x:v>
      </x:c>
      <x:c r="E6" t="str">
        <x:v>On Hold</x:v>
      </x:c>
      <x:c r="F6" s="6" t="n">
        <x:v>140</x:v>
      </x:c>
      <x:c r="G6" t="n">
        <x:v>32</x:v>
      </x:c>
    </x:row>
    <x:row r="7" ht="21" customHeight="1">
      <x:c r="A7" t="str">
        <x:v>P006</x:v>
      </x:c>
      <x:c r="B7" t="str">
        <x:v>C006</x:v>
      </x:c>
      <x:c r="C7" t="str">
        <x:v>Engagement 06</x:v>
      </x:c>
      <x:c r="D7" t="str">
        <x:v>Automation</x:v>
      </x:c>
      <x:c r="E7" t="str">
        <x:v>Active</x:v>
      </x:c>
      <x:c r="F7" s="6" t="n">
        <x:v>155</x:v>
      </x:c>
      <x:c r="G7" t="n">
        <x:v>36</x:v>
      </x:c>
    </x:row>
    <x:row r="8" ht="21" customHeight="1">
      <x:c r="A8" t="str">
        <x:v>P007</x:v>
      </x:c>
      <x:c r="B8" t="str">
        <x:v>C007</x:v>
      </x:c>
      <x:c r="C8" t="str">
        <x:v>Engagement 07</x:v>
      </x:c>
      <x:c r="D8" t="str">
        <x:v>Research</x:v>
      </x:c>
      <x:c r="E8" t="str">
        <x:v>Completed</x:v>
      </x:c>
      <x:c r="F8" s="6" t="n">
        <x:v>65</x:v>
      </x:c>
      <x:c r="G8" t="n">
        <x:v>40</x:v>
      </x:c>
    </x:row>
    <x:row r="9" ht="21" customHeight="1">
      <x:c r="A9" t="str">
        <x:v>P008</x:v>
      </x:c>
      <x:c r="B9" t="str">
        <x:v>C008</x:v>
      </x:c>
      <x:c r="C9" t="str">
        <x:v>Engagement 08</x:v>
      </x:c>
      <x:c r="D9" t="str">
        <x:v>Analytics</x:v>
      </x:c>
      <x:c r="E9" t="str">
        <x:v>On Hold</x:v>
      </x:c>
      <x:c r="F9" s="6" t="n">
        <x:v>80</x:v>
      </x:c>
      <x:c r="G9" t="n">
        <x:v>44</x:v>
      </x:c>
    </x:row>
    <x:row r="10" ht="21" customHeight="1">
      <x:c r="A10" t="str">
        <x:v>P009</x:v>
      </x:c>
      <x:c r="B10" t="str">
        <x:v>C001</x:v>
      </x:c>
      <x:c r="C10" t="str">
        <x:v>Engagement 09</x:v>
      </x:c>
      <x:c r="D10" t="str">
        <x:v>Reporting</x:v>
      </x:c>
      <x:c r="E10" t="str">
        <x:v>Active</x:v>
      </x:c>
      <x:c r="F10" s="6" t="n">
        <x:v>95</x:v>
      </x:c>
      <x:c r="G10" t="n">
        <x:v>12</x:v>
      </x:c>
    </x:row>
    <x:row r="11" ht="21" customHeight="1">
      <x:c r="A11" t="str">
        <x:v>P010</x:v>
      </x:c>
      <x:c r="B11" t="str">
        <x:v>C002</x:v>
      </x:c>
      <x:c r="C11" t="str">
        <x:v>Engagement 10</x:v>
      </x:c>
      <x:c r="D11" t="str">
        <x:v>Automation</x:v>
      </x:c>
      <x:c r="E11" t="str">
        <x:v>Completed</x:v>
      </x:c>
      <x:c r="F11" s="6" t="n">
        <x:v>110</x:v>
      </x:c>
      <x:c r="G11" t="n">
        <x:v>16</x:v>
      </x:c>
    </x:row>
    <x:row r="12" ht="21" customHeight="1">
      <x:c r="A12" t="str">
        <x:v>P011</x:v>
      </x:c>
      <x:c r="B12" t="str">
        <x:v>C003</x:v>
      </x:c>
      <x:c r="C12" t="str">
        <x:v>Engagement 11</x:v>
      </x:c>
      <x:c r="D12" t="str">
        <x:v>Research</x:v>
      </x:c>
      <x:c r="E12" t="str">
        <x:v>On Hold</x:v>
      </x:c>
      <x:c r="F12" s="6" t="n">
        <x:v>125</x:v>
      </x:c>
      <x:c r="G12" t="n">
        <x:v>20</x:v>
      </x:c>
    </x:row>
    <x:row r="13" ht="21" customHeight="1">
      <x:c r="A13" t="str">
        <x:v>P012</x:v>
      </x:c>
      <x:c r="B13" t="str">
        <x:v>C004</x:v>
      </x:c>
      <x:c r="C13" t="str">
        <x:v>Engagement 12</x:v>
      </x:c>
      <x:c r="D13" t="str">
        <x:v>Analytics</x:v>
      </x:c>
      <x:c r="E13" t="str">
        <x:v>Active</x:v>
      </x:c>
      <x:c r="F13" s="6" t="n">
        <x:v>140</x:v>
      </x:c>
      <x:c r="G13" t="n">
        <x:v>24</x:v>
      </x:c>
    </x:row>
    <x:row r="14" ht="21" customHeight="1">
      <x:c r="A14" t="str">
        <x:v>P013</x:v>
      </x:c>
      <x:c r="B14" t="str">
        <x:v>C005</x:v>
      </x:c>
      <x:c r="C14" t="str">
        <x:v>Engagement 13</x:v>
      </x:c>
      <x:c r="D14" t="str">
        <x:v>Reporting</x:v>
      </x:c>
      <x:c r="E14" t="str">
        <x:v>Completed</x:v>
      </x:c>
      <x:c r="F14" s="6" t="n">
        <x:v>155</x:v>
      </x:c>
      <x:c r="G14" t="n">
        <x:v>28</x:v>
      </x:c>
    </x:row>
    <x:row r="15" ht="21" customHeight="1">
      <x:c r="A15" t="str">
        <x:v>P014</x:v>
      </x:c>
      <x:c r="B15" t="str">
        <x:v>C006</x:v>
      </x:c>
      <x:c r="C15" t="str">
        <x:v>Engagement 14</x:v>
      </x:c>
      <x:c r="D15" t="str">
        <x:v>Automation</x:v>
      </x:c>
      <x:c r="E15" t="str">
        <x:v>On Hold</x:v>
      </x:c>
      <x:c r="F15" s="6" t="n">
        <x:v>65</x:v>
      </x:c>
      <x:c r="G15" t="n">
        <x:v>32</x:v>
      </x:c>
    </x:row>
    <x:row r="16" ht="21" customHeight="1">
      <x:c r="A16" t="str">
        <x:v>P015</x:v>
      </x:c>
      <x:c r="B16" t="str">
        <x:v>C007</x:v>
      </x:c>
      <x:c r="C16" t="str">
        <x:v>Engagement 15</x:v>
      </x:c>
      <x:c r="D16" t="str">
        <x:v>Research</x:v>
      </x:c>
      <x:c r="E16" t="str">
        <x:v>Active</x:v>
      </x:c>
      <x:c r="F16" s="6" t="n">
        <x:v>80</x:v>
      </x:c>
      <x:c r="G16" t="n">
        <x:v>36</x:v>
      </x:c>
    </x:row>
    <x:row r="17" ht="21" customHeight="1">
      <x:c r="A17" t="str">
        <x:v>P016</x:v>
      </x:c>
      <x:c r="B17" t="str">
        <x:v>C008</x:v>
      </x:c>
      <x:c r="C17" t="str">
        <x:v>Engagement 16</x:v>
      </x:c>
      <x:c r="D17" t="str">
        <x:v>Analytics</x:v>
      </x:c>
      <x:c r="E17" t="str">
        <x:v>Completed</x:v>
      </x:c>
      <x:c r="F17" s="6" t="n">
        <x:v>95</x:v>
      </x:c>
      <x:c r="G17" t="n">
        <x:v>40</x:v>
      </x:c>
    </x:row>
    <x:row r="18" ht="21" customHeight="1">
      <x:c r="A18" t="str">
        <x:v>P017</x:v>
      </x:c>
      <x:c r="B18" t="str">
        <x:v>C001</x:v>
      </x:c>
      <x:c r="C18" t="str">
        <x:v>Engagement 17</x:v>
      </x:c>
      <x:c r="D18" t="str">
        <x:v>Reporting</x:v>
      </x:c>
      <x:c r="E18" t="str">
        <x:v>On Hold</x:v>
      </x:c>
      <x:c r="F18" s="6" t="n">
        <x:v>110</x:v>
      </x:c>
      <x:c r="G18" t="n">
        <x:v>44</x:v>
      </x:c>
    </x:row>
    <x:row r="19" ht="21" customHeight="1">
      <x:c r="A19" t="str">
        <x:v>P018</x:v>
      </x:c>
      <x:c r="B19" t="str">
        <x:v>C002</x:v>
      </x:c>
      <x:c r="C19" t="str">
        <x:v>Engagement 18</x:v>
      </x:c>
      <x:c r="D19" t="str">
        <x:v>Automation</x:v>
      </x:c>
      <x:c r="E19" t="str">
        <x:v>Active</x:v>
      </x:c>
      <x:c r="F19" s="6" t="n">
        <x:v>125</x:v>
      </x:c>
      <x:c r="G19" t="n">
        <x:v>12</x:v>
      </x:c>
    </x:row>
    <x:row r="20" ht="21" customHeight="1">
      <x:c r="A20" t="str">
        <x:v>P019</x:v>
      </x:c>
      <x:c r="B20" t="str">
        <x:v>C003</x:v>
      </x:c>
      <x:c r="C20" t="str">
        <x:v>Engagement 19</x:v>
      </x:c>
      <x:c r="D20" t="str">
        <x:v>Research</x:v>
      </x:c>
      <x:c r="E20" t="str">
        <x:v>Completed</x:v>
      </x:c>
      <x:c r="F20" s="6" t="n">
        <x:v>140</x:v>
      </x:c>
      <x:c r="G20" t="n">
        <x:v>16</x:v>
      </x:c>
    </x:row>
    <x:row r="21" ht="21" customHeight="1">
      <x:c r="A21" t="str">
        <x:v>P020</x:v>
      </x:c>
      <x:c r="B21" t="str">
        <x:v>C004</x:v>
      </x:c>
      <x:c r="C21" t="str">
        <x:v>Engagement 20</x:v>
      </x:c>
      <x:c r="D21" t="str">
        <x:v>Analytics</x:v>
      </x:c>
      <x:c r="E21" t="str">
        <x:v>On Hold</x:v>
      </x:c>
      <x:c r="F21" s="6" t="n">
        <x:v>155</x:v>
      </x:c>
      <x:c r="G21" t="n">
        <x:v>20</x:v>
      </x:c>
    </x:row>
    <x:row r="22" ht="21" customHeight="1">
      <x:c r="A22" t="str">
        <x:v>P021</x:v>
      </x:c>
      <x:c r="B22" t="str">
        <x:v>C005</x:v>
      </x:c>
      <x:c r="C22" t="str">
        <x:v>Engagement 21</x:v>
      </x:c>
      <x:c r="D22" t="str">
        <x:v>Reporting</x:v>
      </x:c>
      <x:c r="E22" t="str">
        <x:v>Active</x:v>
      </x:c>
      <x:c r="F22" s="6" t="n">
        <x:v>65</x:v>
      </x:c>
      <x:c r="G22" t="n">
        <x:v>24</x:v>
      </x:c>
    </x:row>
    <x:row r="23" ht="21" customHeight="1">
      <x:c r="A23" t="str">
        <x:v>P022</x:v>
      </x:c>
      <x:c r="B23" t="str">
        <x:v>C006</x:v>
      </x:c>
      <x:c r="C23" t="str">
        <x:v>Engagement 22</x:v>
      </x:c>
      <x:c r="D23" t="str">
        <x:v>Automation</x:v>
      </x:c>
      <x:c r="E23" t="str">
        <x:v>Completed</x:v>
      </x:c>
      <x:c r="F23" s="6" t="n">
        <x:v>80</x:v>
      </x:c>
      <x:c r="G23" t="n">
        <x:v>28</x:v>
      </x:c>
    </x:row>
    <x:row r="24" ht="21" customHeight="1">
      <x:c r="A24" t="str">
        <x:v>P023</x:v>
      </x:c>
      <x:c r="B24" t="str">
        <x:v>C007</x:v>
      </x:c>
      <x:c r="C24" t="str">
        <x:v>Engagement 23</x:v>
      </x:c>
      <x:c r="D24" t="str">
        <x:v>Research</x:v>
      </x:c>
      <x:c r="E24" t="str">
        <x:v>On Hold</x:v>
      </x:c>
      <x:c r="F24" s="6" t="n">
        <x:v>95</x:v>
      </x:c>
      <x:c r="G24" t="n">
        <x:v>32</x:v>
      </x:c>
    </x:row>
    <x:row r="25" ht="21" customHeight="1">
      <x:c r="A25" t="str">
        <x:v>P024</x:v>
      </x:c>
      <x:c r="B25" t="str">
        <x:v>C008</x:v>
      </x:c>
      <x:c r="C25" t="str">
        <x:v>Engagement 24</x:v>
      </x:c>
      <x:c r="D25" t="str">
        <x:v>Analytics</x:v>
      </x:c>
      <x:c r="E25" t="str">
        <x:v>Active</x:v>
      </x:c>
      <x:c r="F25" s="6" t="n">
        <x:v>110</x:v>
      </x:c>
      <x:c r="G25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8" hidden="0" customWidth="1"/>
    <x:col min="4" max="4" width="16" hidden="0" customWidth="1"/>
    <x:col min="5" max="5" width="22" hidden="0" customWidth="1"/>
    <x:col min="6" max="6" width="19" hidden="0" customWidth="1"/>
  </x:cols>
  <x:sheetData>
    <x:row r="1" ht="21" customHeight="1">
      <x:c r="A1" s="3" t="str">
        <x:v>Entry ID</x:v>
      </x:c>
      <x:c r="B1" s="3" t="str">
        <x:v>Project ID</x:v>
      </x:c>
      <x:c r="C1" s="3" t="str">
        <x:v>Date</x:v>
      </x:c>
      <x:c r="D1" s="3" t="str">
        <x:v>Hours</x:v>
      </x:c>
      <x:c r="E1" s="3" t="str">
        <x:v>Task Type</x:v>
      </x:c>
      <x:c r="F1" s="3" t="str">
        <x:v>Billable EUR</x:v>
      </x:c>
    </x:row>
    <x:row r="2" ht="21" customHeight="1">
      <x:c r="A2" t="str">
        <x:v>T0001</x:v>
      </x:c>
      <x:c r="B2" t="str">
        <x:v>P008</x:v>
      </x:c>
      <x:c r="C2" t="str">
        <x:v>2026-01-04</x:v>
      </x:c>
      <x:c r="D2" t="n">
        <x:v>1.75</x:v>
      </x:c>
      <x:c r="E2" t="str">
        <x:v>Design</x:v>
      </x:c>
      <x:c r="F2" s="6" t="n">
        <x:f>D2*IFERROR(VLOOKUP(B2,Projects!$A$2:$F$25,6,FALSE),0)</x:f>
        <x:v>140</x:v>
      </x:c>
    </x:row>
    <x:row r="3" ht="21" customHeight="1">
      <x:c r="A3" t="str">
        <x:v>T0002</x:v>
      </x:c>
      <x:c r="B3" t="str">
        <x:v>P015</x:v>
      </x:c>
      <x:c r="C3" t="str">
        <x:v>2026-01-07</x:v>
      </x:c>
      <x:c r="D3" t="n">
        <x:v>2.5</x:v>
      </x:c>
      <x:c r="E3" t="str">
        <x:v>Testing</x:v>
      </x:c>
      <x:c r="F3" s="6" t="n">
        <x:f>D3*IFERROR(VLOOKUP(B3,Projects!$A$2:$F$25,6,FALSE),0)</x:f>
        <x:v>200</x:v>
      </x:c>
    </x:row>
    <x:row r="4" ht="21" customHeight="1">
      <x:c r="A4" t="str">
        <x:v>T0003</x:v>
      </x:c>
      <x:c r="B4" t="str">
        <x:v>P022</x:v>
      </x:c>
      <x:c r="C4" t="str">
        <x:v>2026-01-10</x:v>
      </x:c>
      <x:c r="D4" t="n">
        <x:v>3.25</x:v>
      </x:c>
      <x:c r="E4" t="str">
        <x:v>Client meeting</x:v>
      </x:c>
      <x:c r="F4" s="6" t="n">
        <x:f>D4*IFERROR(VLOOKUP(B4,Projects!$A$2:$F$25,6,FALSE),0)</x:f>
        <x:v>260</x:v>
      </x:c>
    </x:row>
    <x:row r="5" ht="21" customHeight="1">
      <x:c r="A5" t="str">
        <x:v>T0004</x:v>
      </x:c>
      <x:c r="B5" t="str">
        <x:v>P005</x:v>
      </x:c>
      <x:c r="C5" t="str">
        <x:v>2026-01-13</x:v>
      </x:c>
      <x:c r="D5" t="n">
        <x:v>4</x:v>
      </x:c>
      <x:c r="E5" t="str">
        <x:v>Analysis</x:v>
      </x:c>
      <x:c r="F5" s="6" t="n">
        <x:f>D5*IFERROR(VLOOKUP(B5,Projects!$A$2:$F$25,6,FALSE),0)</x:f>
        <x:v>560</x:v>
      </x:c>
    </x:row>
    <x:row r="6" ht="21" customHeight="1">
      <x:c r="A6" t="str">
        <x:v>T0005</x:v>
      </x:c>
      <x:c r="B6" t="str">
        <x:v>P012</x:v>
      </x:c>
      <x:c r="C6" t="str">
        <x:v>2026-01-16</x:v>
      </x:c>
      <x:c r="D6" t="n">
        <x:v>4.75</x:v>
      </x:c>
      <x:c r="E6" t="str">
        <x:v>Design</x:v>
      </x:c>
      <x:c r="F6" s="6" t="n">
        <x:f>D6*IFERROR(VLOOKUP(B6,Projects!$A$2:$F$25,6,FALSE),0)</x:f>
        <x:v>665</x:v>
      </x:c>
    </x:row>
    <x:row r="7" ht="21" customHeight="1">
      <x:c r="A7" t="str">
        <x:v>T0006</x:v>
      </x:c>
      <x:c r="B7" t="str">
        <x:v>P019</x:v>
      </x:c>
      <x:c r="C7" t="str">
        <x:v>2026-01-19</x:v>
      </x:c>
      <x:c r="D7" t="n">
        <x:v>5.5</x:v>
      </x:c>
      <x:c r="E7" t="str">
        <x:v>Testing</x:v>
      </x:c>
      <x:c r="F7" s="6" t="n">
        <x:f>D7*IFERROR(VLOOKUP(B7,Projects!$A$2:$F$25,6,FALSE),0)</x:f>
        <x:v>770</x:v>
      </x:c>
    </x:row>
    <x:row r="8" ht="21" customHeight="1">
      <x:c r="A8" t="str">
        <x:v>T0007</x:v>
      </x:c>
      <x:c r="B8" t="str">
        <x:v>P002</x:v>
      </x:c>
      <x:c r="C8" t="str">
        <x:v>2026-01-22</x:v>
      </x:c>
      <x:c r="D8" t="n">
        <x:v>1</x:v>
      </x:c>
      <x:c r="E8" t="str">
        <x:v>Client meeting</x:v>
      </x:c>
      <x:c r="F8" s="6" t="n">
        <x:f>D8*IFERROR(VLOOKUP(B8,Projects!$A$2:$F$25,6,FALSE),0)</x:f>
        <x:v>95</x:v>
      </x:c>
    </x:row>
    <x:row r="9" ht="21" customHeight="1">
      <x:c r="A9" t="str">
        <x:v>T0008</x:v>
      </x:c>
      <x:c r="B9" t="str">
        <x:v>P009</x:v>
      </x:c>
      <x:c r="C9" t="str">
        <x:v>2026-01-25</x:v>
      </x:c>
      <x:c r="D9" t="n">
        <x:v>1.75</x:v>
      </x:c>
      <x:c r="E9" t="str">
        <x:v>Analysis</x:v>
      </x:c>
      <x:c r="F9" s="6" t="n">
        <x:f>D9*IFERROR(VLOOKUP(B9,Projects!$A$2:$F$25,6,FALSE),0)</x:f>
        <x:v>166.25</x:v>
      </x:c>
    </x:row>
    <x:row r="10" ht="21" customHeight="1">
      <x:c r="A10" t="str">
        <x:v>T0009</x:v>
      </x:c>
      <x:c r="B10" t="str">
        <x:v>P016</x:v>
      </x:c>
      <x:c r="C10" t="str">
        <x:v>2026-01-28</x:v>
      </x:c>
      <x:c r="D10" t="n">
        <x:v>2.5</x:v>
      </x:c>
      <x:c r="E10" t="str">
        <x:v>Design</x:v>
      </x:c>
      <x:c r="F10" s="6" t="n">
        <x:f>D10*IFERROR(VLOOKUP(B10,Projects!$A$2:$F$25,6,FALSE),0)</x:f>
        <x:v>237.5</x:v>
      </x:c>
    </x:row>
    <x:row r="11" ht="21" customHeight="1">
      <x:c r="A11" t="str">
        <x:v>T0010</x:v>
      </x:c>
      <x:c r="B11" t="str">
        <x:v>P023</x:v>
      </x:c>
      <x:c r="C11" t="str">
        <x:v>2026-01-31</x:v>
      </x:c>
      <x:c r="D11" t="n">
        <x:v>3.25</x:v>
      </x:c>
      <x:c r="E11" t="str">
        <x:v>Testing</x:v>
      </x:c>
      <x:c r="F11" s="6" t="n">
        <x:f>D11*IFERROR(VLOOKUP(B11,Projects!$A$2:$F$25,6,FALSE),0)</x:f>
        <x:v>308.75</x:v>
      </x:c>
    </x:row>
    <x:row r="12" ht="21" customHeight="1">
      <x:c r="A12" t="str">
        <x:v>T0011</x:v>
      </x:c>
      <x:c r="B12" t="str">
        <x:v>P006</x:v>
      </x:c>
      <x:c r="C12" t="str">
        <x:v>2026-02-03</x:v>
      </x:c>
      <x:c r="D12" t="n">
        <x:v>4</x:v>
      </x:c>
      <x:c r="E12" t="str">
        <x:v>Client meeting</x:v>
      </x:c>
      <x:c r="F12" s="6" t="n">
        <x:f>D12*IFERROR(VLOOKUP(B12,Projects!$A$2:$F$25,6,FALSE),0)</x:f>
        <x:v>620</x:v>
      </x:c>
    </x:row>
    <x:row r="13" ht="21" customHeight="1">
      <x:c r="A13" t="str">
        <x:v>T0012</x:v>
      </x:c>
      <x:c r="B13" t="str">
        <x:v>P013</x:v>
      </x:c>
      <x:c r="C13" t="str">
        <x:v>2026-02-06</x:v>
      </x:c>
      <x:c r="D13" t="n">
        <x:v>4.75</x:v>
      </x:c>
      <x:c r="E13" t="str">
        <x:v>Analysis</x:v>
      </x:c>
      <x:c r="F13" s="6" t="n">
        <x:f>D13*IFERROR(VLOOKUP(B13,Projects!$A$2:$F$25,6,FALSE),0)</x:f>
        <x:v>736.25</x:v>
      </x:c>
    </x:row>
    <x:row r="14" ht="21" customHeight="1">
      <x:c r="A14" t="str">
        <x:v>T0013</x:v>
      </x:c>
      <x:c r="B14" t="str">
        <x:v>P020</x:v>
      </x:c>
      <x:c r="C14" t="str">
        <x:v>2026-02-09</x:v>
      </x:c>
      <x:c r="D14" t="n">
        <x:v>5.5</x:v>
      </x:c>
      <x:c r="E14" t="str">
        <x:v>Design</x:v>
      </x:c>
      <x:c r="F14" s="6" t="n">
        <x:f>D14*IFERROR(VLOOKUP(B14,Projects!$A$2:$F$25,6,FALSE),0)</x:f>
        <x:v>852.5</x:v>
      </x:c>
    </x:row>
    <x:row r="15" ht="21" customHeight="1">
      <x:c r="A15" t="str">
        <x:v>T0014</x:v>
      </x:c>
      <x:c r="B15" t="str">
        <x:v>P003</x:v>
      </x:c>
      <x:c r="C15" t="str">
        <x:v>2026-02-12</x:v>
      </x:c>
      <x:c r="D15" t="n">
        <x:v>1</x:v>
      </x:c>
      <x:c r="E15" t="str">
        <x:v>Testing</x:v>
      </x:c>
      <x:c r="F15" s="6" t="n">
        <x:f>D15*IFERROR(VLOOKUP(B15,Projects!$A$2:$F$25,6,FALSE),0)</x:f>
        <x:v>110</x:v>
      </x:c>
    </x:row>
    <x:row r="16" ht="21" customHeight="1">
      <x:c r="A16" t="str">
        <x:v>T0015</x:v>
      </x:c>
      <x:c r="B16" t="str">
        <x:v>P010</x:v>
      </x:c>
      <x:c r="C16" t="str">
        <x:v>2026-02-15</x:v>
      </x:c>
      <x:c r="D16" t="n">
        <x:v>1.75</x:v>
      </x:c>
      <x:c r="E16" t="str">
        <x:v>Client meeting</x:v>
      </x:c>
      <x:c r="F16" s="6" t="n">
        <x:f>D16*IFERROR(VLOOKUP(B16,Projects!$A$2:$F$25,6,FALSE),0)</x:f>
        <x:v>192.5</x:v>
      </x:c>
    </x:row>
    <x:row r="17" ht="21" customHeight="1">
      <x:c r="A17" t="str">
        <x:v>T0016</x:v>
      </x:c>
      <x:c r="B17" t="str">
        <x:v>P017</x:v>
      </x:c>
      <x:c r="C17" t="str">
        <x:v>2026-02-18</x:v>
      </x:c>
      <x:c r="D17" t="n">
        <x:v>2.5</x:v>
      </x:c>
      <x:c r="E17" t="str">
        <x:v>Analysis</x:v>
      </x:c>
      <x:c r="F17" s="6" t="n">
        <x:f>D17*IFERROR(VLOOKUP(B17,Projects!$A$2:$F$25,6,FALSE),0)</x:f>
        <x:v>275</x:v>
      </x:c>
    </x:row>
    <x:row r="18" ht="21" customHeight="1">
      <x:c r="A18" t="str">
        <x:v>T0017</x:v>
      </x:c>
      <x:c r="B18" t="str">
        <x:v>P024</x:v>
      </x:c>
      <x:c r="C18" t="str">
        <x:v>2026-02-21</x:v>
      </x:c>
      <x:c r="D18" t="n">
        <x:v>3.25</x:v>
      </x:c>
      <x:c r="E18" t="str">
        <x:v>Design</x:v>
      </x:c>
      <x:c r="F18" s="6" t="n">
        <x:f>D18*IFERROR(VLOOKUP(B18,Projects!$A$2:$F$25,6,FALSE),0)</x:f>
        <x:v>357.5</x:v>
      </x:c>
    </x:row>
    <x:row r="19" ht="21" customHeight="1">
      <x:c r="A19" t="str">
        <x:v>T0018</x:v>
      </x:c>
      <x:c r="B19" t="str">
        <x:v>P007</x:v>
      </x:c>
      <x:c r="C19" t="str">
        <x:v>2026-02-24</x:v>
      </x:c>
      <x:c r="D19" t="n">
        <x:v>4</x:v>
      </x:c>
      <x:c r="E19" t="str">
        <x:v>Testing</x:v>
      </x:c>
      <x:c r="F19" s="6" t="n">
        <x:f>D19*IFERROR(VLOOKUP(B19,Projects!$A$2:$F$25,6,FALSE),0)</x:f>
        <x:v>260</x:v>
      </x:c>
    </x:row>
    <x:row r="20" ht="21" customHeight="1">
      <x:c r="A20" t="str">
        <x:v>T0019</x:v>
      </x:c>
      <x:c r="B20" t="str">
        <x:v>P014</x:v>
      </x:c>
      <x:c r="C20" t="str">
        <x:v>2026-02-27</x:v>
      </x:c>
      <x:c r="D20" t="n">
        <x:v>4.75</x:v>
      </x:c>
      <x:c r="E20" t="str">
        <x:v>Client meeting</x:v>
      </x:c>
      <x:c r="F20" s="6" t="n">
        <x:f>D20*IFERROR(VLOOKUP(B20,Projects!$A$2:$F$25,6,FALSE),0)</x:f>
        <x:v>308.75</x:v>
      </x:c>
    </x:row>
    <x:row r="21" ht="21" customHeight="1">
      <x:c r="A21" t="str">
        <x:v>T0020</x:v>
      </x:c>
      <x:c r="B21" t="str">
        <x:v>P021</x:v>
      </x:c>
      <x:c r="C21" t="str">
        <x:v>2026-03-02</x:v>
      </x:c>
      <x:c r="D21" t="n">
        <x:v>5.5</x:v>
      </x:c>
      <x:c r="E21" t="str">
        <x:v>Analysis</x:v>
      </x:c>
      <x:c r="F21" s="6" t="n">
        <x:f>D21*IFERROR(VLOOKUP(B21,Projects!$A$2:$F$25,6,FALSE),0)</x:f>
        <x:v>357.5</x:v>
      </x:c>
    </x:row>
    <x:row r="22" ht="21" customHeight="1">
      <x:c r="A22" t="str">
        <x:v>T0021</x:v>
      </x:c>
      <x:c r="B22" t="str">
        <x:v>P004</x:v>
      </x:c>
      <x:c r="C22" t="str">
        <x:v>2026-03-05</x:v>
      </x:c>
      <x:c r="D22" t="n">
        <x:v>1</x:v>
      </x:c>
      <x:c r="E22" t="str">
        <x:v>Design</x:v>
      </x:c>
      <x:c r="F22" s="6" t="n">
        <x:f>D22*IFERROR(VLOOKUP(B22,Projects!$A$2:$F$25,6,FALSE),0)</x:f>
        <x:v>125</x:v>
      </x:c>
    </x:row>
    <x:row r="23" ht="21" customHeight="1">
      <x:c r="A23" t="str">
        <x:v>T0022</x:v>
      </x:c>
      <x:c r="B23" t="str">
        <x:v>P011</x:v>
      </x:c>
      <x:c r="C23" t="str">
        <x:v>2026-03-08</x:v>
      </x:c>
      <x:c r="D23" t="n">
        <x:v>1.75</x:v>
      </x:c>
      <x:c r="E23" t="str">
        <x:v>Testing</x:v>
      </x:c>
      <x:c r="F23" s="6" t="n">
        <x:f>D23*IFERROR(VLOOKUP(B23,Projects!$A$2:$F$25,6,FALSE),0)</x:f>
        <x:v>218.75</x:v>
      </x:c>
    </x:row>
    <x:row r="24" ht="21" customHeight="1">
      <x:c r="A24" t="str">
        <x:v>T0023</x:v>
      </x:c>
      <x:c r="B24" t="str">
        <x:v>P018</x:v>
      </x:c>
      <x:c r="C24" t="str">
        <x:v>2026-03-11</x:v>
      </x:c>
      <x:c r="D24" t="n">
        <x:v>2.5</x:v>
      </x:c>
      <x:c r="E24" t="str">
        <x:v>Client meeting</x:v>
      </x:c>
      <x:c r="F24" s="6" t="n">
        <x:f>D24*IFERROR(VLOOKUP(B24,Projects!$A$2:$F$25,6,FALSE),0)</x:f>
        <x:v>312.5</x:v>
      </x:c>
    </x:row>
    <x:row r="25" ht="21" customHeight="1">
      <x:c r="A25" t="str">
        <x:v>T0024</x:v>
      </x:c>
      <x:c r="B25" t="str">
        <x:v>P001</x:v>
      </x:c>
      <x:c r="C25" t="str">
        <x:v>2026-03-14</x:v>
      </x:c>
      <x:c r="D25" t="n">
        <x:v>3.25</x:v>
      </x:c>
      <x:c r="E25" t="str">
        <x:v>Analysis</x:v>
      </x:c>
      <x:c r="F25" s="6" t="n">
        <x:f>D25*IFERROR(VLOOKUP(B25,Projects!$A$2:$F$25,6,FALSE),0)</x:f>
        <x:v>260</x:v>
      </x:c>
    </x:row>
    <x:row r="26" ht="21" customHeight="1">
      <x:c r="A26" t="str">
        <x:v>T0025</x:v>
      </x:c>
      <x:c r="B26" t="str">
        <x:v>P008</x:v>
      </x:c>
      <x:c r="C26" t="str">
        <x:v>2026-03-17</x:v>
      </x:c>
      <x:c r="D26" t="n">
        <x:v>4</x:v>
      </x:c>
      <x:c r="E26" t="str">
        <x:v>Design</x:v>
      </x:c>
      <x:c r="F26" s="6" t="n">
        <x:f>D26*IFERROR(VLOOKUP(B26,Projects!$A$2:$F$25,6,FALSE),0)</x:f>
        <x:v>320</x:v>
      </x:c>
    </x:row>
    <x:row r="27" ht="21" customHeight="1">
      <x:c r="A27" t="str">
        <x:v>T0026</x:v>
      </x:c>
      <x:c r="B27" t="str">
        <x:v>P015</x:v>
      </x:c>
      <x:c r="C27" t="str">
        <x:v>2026-03-20</x:v>
      </x:c>
      <x:c r="D27" t="n">
        <x:v>4.75</x:v>
      </x:c>
      <x:c r="E27" t="str">
        <x:v>Testing</x:v>
      </x:c>
      <x:c r="F27" s="6" t="n">
        <x:f>D27*IFERROR(VLOOKUP(B27,Projects!$A$2:$F$25,6,FALSE),0)</x:f>
        <x:v>380</x:v>
      </x:c>
    </x:row>
    <x:row r="28" ht="21" customHeight="1">
      <x:c r="A28" t="str">
        <x:v>T0027</x:v>
      </x:c>
      <x:c r="B28" t="str">
        <x:v>P022</x:v>
      </x:c>
      <x:c r="C28" t="str">
        <x:v>2026-03-23</x:v>
      </x:c>
      <x:c r="D28" t="n">
        <x:v>5.5</x:v>
      </x:c>
      <x:c r="E28" t="str">
        <x:v>Client meeting</x:v>
      </x:c>
      <x:c r="F28" s="6" t="n">
        <x:f>D28*IFERROR(VLOOKUP(B28,Projects!$A$2:$F$25,6,FALSE),0)</x:f>
        <x:v>440</x:v>
      </x:c>
    </x:row>
    <x:row r="29" ht="21" customHeight="1">
      <x:c r="A29" t="str">
        <x:v>T0028</x:v>
      </x:c>
      <x:c r="B29" t="str">
        <x:v>P005</x:v>
      </x:c>
      <x:c r="C29" t="str">
        <x:v>2026-03-26</x:v>
      </x:c>
      <x:c r="D29" t="n">
        <x:v>1</x:v>
      </x:c>
      <x:c r="E29" t="str">
        <x:v>Analysis</x:v>
      </x:c>
      <x:c r="F29" s="6" t="n">
        <x:f>D29*IFERROR(VLOOKUP(B29,Projects!$A$2:$F$25,6,FALSE),0)</x:f>
        <x:v>140</x:v>
      </x:c>
    </x:row>
    <x:row r="30" ht="21" customHeight="1">
      <x:c r="A30" t="str">
        <x:v>T0029</x:v>
      </x:c>
      <x:c r="B30" t="str">
        <x:v>P012</x:v>
      </x:c>
      <x:c r="C30" t="str">
        <x:v>2026-03-29</x:v>
      </x:c>
      <x:c r="D30" t="n">
        <x:v>1.75</x:v>
      </x:c>
      <x:c r="E30" t="str">
        <x:v>Design</x:v>
      </x:c>
      <x:c r="F30" s="6" t="n">
        <x:f>D30*IFERROR(VLOOKUP(B30,Projects!$A$2:$F$25,6,FALSE),0)</x:f>
        <x:v>245</x:v>
      </x:c>
    </x:row>
    <x:row r="31" ht="21" customHeight="1">
      <x:c r="A31" t="str">
        <x:v>T0030</x:v>
      </x:c>
      <x:c r="B31" t="str">
        <x:v>P019</x:v>
      </x:c>
      <x:c r="C31" t="str">
        <x:v>2026-04-01</x:v>
      </x:c>
      <x:c r="D31" t="n">
        <x:v>2.5</x:v>
      </x:c>
      <x:c r="E31" t="str">
        <x:v>Testing</x:v>
      </x:c>
      <x:c r="F31" s="6" t="n">
        <x:f>D31*IFERROR(VLOOKUP(B31,Projects!$A$2:$F$25,6,FALSE),0)</x:f>
        <x:v>350</x:v>
      </x:c>
    </x:row>
    <x:row r="32" ht="21" customHeight="1">
      <x:c r="A32" t="str">
        <x:v>T0031</x:v>
      </x:c>
      <x:c r="B32" t="str">
        <x:v>P002</x:v>
      </x:c>
      <x:c r="C32" t="str">
        <x:v>2026-04-04</x:v>
      </x:c>
      <x:c r="D32" t="n">
        <x:v>3.25</x:v>
      </x:c>
      <x:c r="E32" t="str">
        <x:v>Client meeting</x:v>
      </x:c>
      <x:c r="F32" s="6" t="n">
        <x:f>D32*IFERROR(VLOOKUP(B32,Projects!$A$2:$F$25,6,FALSE),0)</x:f>
        <x:v>308.75</x:v>
      </x:c>
    </x:row>
    <x:row r="33" ht="21" customHeight="1">
      <x:c r="A33" t="str">
        <x:v>T0032</x:v>
      </x:c>
      <x:c r="B33" t="str">
        <x:v>P009</x:v>
      </x:c>
      <x:c r="C33" t="str">
        <x:v>2026-04-07</x:v>
      </x:c>
      <x:c r="D33" t="n">
        <x:v>4</x:v>
      </x:c>
      <x:c r="E33" t="str">
        <x:v>Analysis</x:v>
      </x:c>
      <x:c r="F33" s="6" t="n">
        <x:f>D33*IFERROR(VLOOKUP(B33,Projects!$A$2:$F$25,6,FALSE),0)</x:f>
        <x:v>380</x:v>
      </x:c>
    </x:row>
    <x:row r="34" ht="21" customHeight="1">
      <x:c r="A34" t="str">
        <x:v>T0033</x:v>
      </x:c>
      <x:c r="B34" t="str">
        <x:v>P016</x:v>
      </x:c>
      <x:c r="C34" t="str">
        <x:v>2026-04-10</x:v>
      </x:c>
      <x:c r="D34" t="n">
        <x:v>4.75</x:v>
      </x:c>
      <x:c r="E34" t="str">
        <x:v>Design</x:v>
      </x:c>
      <x:c r="F34" s="6" t="n">
        <x:f>D34*IFERROR(VLOOKUP(B34,Projects!$A$2:$F$25,6,FALSE),0)</x:f>
        <x:v>451.25</x:v>
      </x:c>
    </x:row>
    <x:row r="35" ht="21" customHeight="1">
      <x:c r="A35" t="str">
        <x:v>T0034</x:v>
      </x:c>
      <x:c r="B35" t="str">
        <x:v>P023</x:v>
      </x:c>
      <x:c r="C35" t="str">
        <x:v>2026-04-13</x:v>
      </x:c>
      <x:c r="D35" t="n">
        <x:v>5.5</x:v>
      </x:c>
      <x:c r="E35" t="str">
        <x:v>Testing</x:v>
      </x:c>
      <x:c r="F35" s="6" t="n">
        <x:f>D35*IFERROR(VLOOKUP(B35,Projects!$A$2:$F$25,6,FALSE),0)</x:f>
        <x:v>522.5</x:v>
      </x:c>
    </x:row>
    <x:row r="36" ht="21" customHeight="1">
      <x:c r="A36" t="str">
        <x:v>T0035</x:v>
      </x:c>
      <x:c r="B36" t="str">
        <x:v>P006</x:v>
      </x:c>
      <x:c r="C36" t="str">
        <x:v>2026-04-16</x:v>
      </x:c>
      <x:c r="D36" t="n">
        <x:v>1</x:v>
      </x:c>
      <x:c r="E36" t="str">
        <x:v>Client meeting</x:v>
      </x:c>
      <x:c r="F36" s="6" t="n">
        <x:f>D36*IFERROR(VLOOKUP(B36,Projects!$A$2:$F$25,6,FALSE),0)</x:f>
        <x:v>155</x:v>
      </x:c>
    </x:row>
    <x:row r="37" ht="21" customHeight="1">
      <x:c r="A37" t="str">
        <x:v>T0036</x:v>
      </x:c>
      <x:c r="B37" t="str">
        <x:v>P013</x:v>
      </x:c>
      <x:c r="C37" t="str">
        <x:v>2026-04-19</x:v>
      </x:c>
      <x:c r="D37" t="n">
        <x:v>1.75</x:v>
      </x:c>
      <x:c r="E37" t="str">
        <x:v>Analysis</x:v>
      </x:c>
      <x:c r="F37" s="6" t="n">
        <x:f>D37*IFERROR(VLOOKUP(B37,Projects!$A$2:$F$25,6,FALSE),0)</x:f>
        <x:v>271.25</x:v>
      </x:c>
    </x:row>
    <x:row r="38" ht="21" customHeight="1">
      <x:c r="A38" t="str">
        <x:v>T0037</x:v>
      </x:c>
      <x:c r="B38" t="str">
        <x:v>P020</x:v>
      </x:c>
      <x:c r="C38" t="str">
        <x:v>2026-04-22</x:v>
      </x:c>
      <x:c r="D38" t="n">
        <x:v>2.5</x:v>
      </x:c>
      <x:c r="E38" t="str">
        <x:v>Design</x:v>
      </x:c>
      <x:c r="F38" s="6" t="n">
        <x:f>D38*IFERROR(VLOOKUP(B38,Projects!$A$2:$F$25,6,FALSE),0)</x:f>
        <x:v>387.5</x:v>
      </x:c>
    </x:row>
    <x:row r="39" ht="21" customHeight="1">
      <x:c r="A39" t="str">
        <x:v>T0038</x:v>
      </x:c>
      <x:c r="B39" t="str">
        <x:v>P003</x:v>
      </x:c>
      <x:c r="C39" t="str">
        <x:v>2026-04-25</x:v>
      </x:c>
      <x:c r="D39" t="n">
        <x:v>3.25</x:v>
      </x:c>
      <x:c r="E39" t="str">
        <x:v>Testing</x:v>
      </x:c>
      <x:c r="F39" s="6" t="n">
        <x:f>D39*IFERROR(VLOOKUP(B39,Projects!$A$2:$F$25,6,FALSE),0)</x:f>
        <x:v>357.5</x:v>
      </x:c>
    </x:row>
    <x:row r="40" ht="21" customHeight="1">
      <x:c r="A40" t="str">
        <x:v>T0039</x:v>
      </x:c>
      <x:c r="B40" t="str">
        <x:v>P010</x:v>
      </x:c>
      <x:c r="C40" t="str">
        <x:v>2026-04-28</x:v>
      </x:c>
      <x:c r="D40" t="n">
        <x:v>4</x:v>
      </x:c>
      <x:c r="E40" t="str">
        <x:v>Client meeting</x:v>
      </x:c>
      <x:c r="F40" s="6" t="n">
        <x:f>D40*IFERROR(VLOOKUP(B40,Projects!$A$2:$F$25,6,FALSE),0)</x:f>
        <x:v>440</x:v>
      </x:c>
    </x:row>
    <x:row r="41" ht="21" customHeight="1">
      <x:c r="A41" t="str">
        <x:v>T0040</x:v>
      </x:c>
      <x:c r="B41" t="str">
        <x:v>P017</x:v>
      </x:c>
      <x:c r="C41" t="str">
        <x:v>2026-05-01</x:v>
      </x:c>
      <x:c r="D41" t="n">
        <x:v>4.75</x:v>
      </x:c>
      <x:c r="E41" t="str">
        <x:v>Analysis</x:v>
      </x:c>
      <x:c r="F41" s="6" t="n">
        <x:f>D41*IFERROR(VLOOKUP(B41,Projects!$A$2:$F$25,6,FALSE),0)</x:f>
        <x:v>522.5</x:v>
      </x:c>
    </x:row>
    <x:row r="42" ht="21" customHeight="1">
      <x:c r="A42" t="str">
        <x:v>T0041</x:v>
      </x:c>
      <x:c r="B42" t="str">
        <x:v>P024</x:v>
      </x:c>
      <x:c r="C42" t="str">
        <x:v>2026-05-04</x:v>
      </x:c>
      <x:c r="D42" t="n">
        <x:v>5.5</x:v>
      </x:c>
      <x:c r="E42" t="str">
        <x:v>Design</x:v>
      </x:c>
      <x:c r="F42" s="6" t="n">
        <x:f>D42*IFERROR(VLOOKUP(B42,Projects!$A$2:$F$25,6,FALSE),0)</x:f>
        <x:v>605</x:v>
      </x:c>
    </x:row>
    <x:row r="43" ht="21" customHeight="1">
      <x:c r="A43" t="str">
        <x:v>T0042</x:v>
      </x:c>
      <x:c r="B43" t="str">
        <x:v>P007</x:v>
      </x:c>
      <x:c r="C43" t="str">
        <x:v>2026-05-07</x:v>
      </x:c>
      <x:c r="D43" t="n">
        <x:v>1</x:v>
      </x:c>
      <x:c r="E43" t="str">
        <x:v>Testing</x:v>
      </x:c>
      <x:c r="F43" s="6" t="n">
        <x:f>D43*IFERROR(VLOOKUP(B43,Projects!$A$2:$F$25,6,FALSE),0)</x:f>
        <x:v>65</x:v>
      </x:c>
    </x:row>
    <x:row r="44" ht="21" customHeight="1">
      <x:c r="A44" t="str">
        <x:v>T0043</x:v>
      </x:c>
      <x:c r="B44" t="str">
        <x:v>P014</x:v>
      </x:c>
      <x:c r="C44" t="str">
        <x:v>2026-05-10</x:v>
      </x:c>
      <x:c r="D44" t="n">
        <x:v>1.75</x:v>
      </x:c>
      <x:c r="E44" t="str">
        <x:v>Client meeting</x:v>
      </x:c>
      <x:c r="F44" s="6" t="n">
        <x:f>D44*IFERROR(VLOOKUP(B44,Projects!$A$2:$F$25,6,FALSE),0)</x:f>
        <x:v>113.75</x:v>
      </x:c>
    </x:row>
    <x:row r="45" ht="21" customHeight="1">
      <x:c r="A45" t="str">
        <x:v>T0044</x:v>
      </x:c>
      <x:c r="B45" t="str">
        <x:v>P021</x:v>
      </x:c>
      <x:c r="C45" t="str">
        <x:v>2026-05-13</x:v>
      </x:c>
      <x:c r="D45" t="n">
        <x:v>2.5</x:v>
      </x:c>
      <x:c r="E45" t="str">
        <x:v>Analysis</x:v>
      </x:c>
      <x:c r="F45" s="6" t="n">
        <x:f>D45*IFERROR(VLOOKUP(B45,Projects!$A$2:$F$25,6,FALSE),0)</x:f>
        <x:v>162.5</x:v>
      </x:c>
    </x:row>
    <x:row r="46" ht="21" customHeight="1">
      <x:c r="A46" t="str">
        <x:v>T0045</x:v>
      </x:c>
      <x:c r="B46" t="str">
        <x:v>P004</x:v>
      </x:c>
      <x:c r="C46" t="str">
        <x:v>2026-05-16</x:v>
      </x:c>
      <x:c r="D46" t="n">
        <x:v>3.25</x:v>
      </x:c>
      <x:c r="E46" t="str">
        <x:v>Design</x:v>
      </x:c>
      <x:c r="F46" s="6" t="n">
        <x:f>D46*IFERROR(VLOOKUP(B46,Projects!$A$2:$F$25,6,FALSE),0)</x:f>
        <x:v>406.25</x:v>
      </x:c>
    </x:row>
    <x:row r="47" ht="21" customHeight="1">
      <x:c r="A47" t="str">
        <x:v>T0046</x:v>
      </x:c>
      <x:c r="B47" t="str">
        <x:v>P011</x:v>
      </x:c>
      <x:c r="C47" t="str">
        <x:v>2026-05-19</x:v>
      </x:c>
      <x:c r="D47" t="n">
        <x:v>4</x:v>
      </x:c>
      <x:c r="E47" t="str">
        <x:v>Testing</x:v>
      </x:c>
      <x:c r="F47" s="6" t="n">
        <x:f>D47*IFERROR(VLOOKUP(B47,Projects!$A$2:$F$25,6,FALSE),0)</x:f>
        <x:v>500</x:v>
      </x:c>
    </x:row>
    <x:row r="48" ht="21" customHeight="1">
      <x:c r="A48" t="str">
        <x:v>T0047</x:v>
      </x:c>
      <x:c r="B48" t="str">
        <x:v>P018</x:v>
      </x:c>
      <x:c r="C48" t="str">
        <x:v>2026-05-22</x:v>
      </x:c>
      <x:c r="D48" t="n">
        <x:v>4.75</x:v>
      </x:c>
      <x:c r="E48" t="str">
        <x:v>Client meeting</x:v>
      </x:c>
      <x:c r="F48" s="6" t="n">
        <x:f>D48*IFERROR(VLOOKUP(B48,Projects!$A$2:$F$25,6,FALSE),0)</x:f>
        <x:v>593.75</x:v>
      </x:c>
    </x:row>
    <x:row r="49" ht="21" customHeight="1">
      <x:c r="A49" t="str">
        <x:v>T0048</x:v>
      </x:c>
      <x:c r="B49" t="str">
        <x:v>P001</x:v>
      </x:c>
      <x:c r="C49" t="str">
        <x:v>2026-05-25</x:v>
      </x:c>
      <x:c r="D49" t="n">
        <x:v>5.5</x:v>
      </x:c>
      <x:c r="E49" t="str">
        <x:v>Analysis</x:v>
      </x:c>
      <x:c r="F49" s="6" t="n">
        <x:f>D49*IFERROR(VLOOKUP(B49,Projects!$A$2:$F$25,6,FALSE),0)</x:f>
        <x:v>440</x:v>
      </x:c>
    </x:row>
    <x:row r="50" ht="21" customHeight="1">
      <x:c r="A50" t="str">
        <x:v>T0049</x:v>
      </x:c>
      <x:c r="B50" t="str">
        <x:v>P008</x:v>
      </x:c>
      <x:c r="C50" t="str">
        <x:v>2026-05-28</x:v>
      </x:c>
      <x:c r="D50" t="n">
        <x:v>1</x:v>
      </x:c>
      <x:c r="E50" t="str">
        <x:v>Design</x:v>
      </x:c>
      <x:c r="F50" s="6" t="n">
        <x:f>D50*IFERROR(VLOOKUP(B50,Projects!$A$2:$F$25,6,FALSE),0)</x:f>
        <x:v>80</x:v>
      </x:c>
    </x:row>
    <x:row r="51" ht="21" customHeight="1">
      <x:c r="A51" t="str">
        <x:v>T0050</x:v>
      </x:c>
      <x:c r="B51" t="str">
        <x:v>P015</x:v>
      </x:c>
      <x:c r="C51" t="str">
        <x:v>2026-05-31</x:v>
      </x:c>
      <x:c r="D51" t="n">
        <x:v>1.75</x:v>
      </x:c>
      <x:c r="E51" t="str">
        <x:v>Testing</x:v>
      </x:c>
      <x:c r="F51" s="6" t="n">
        <x:f>D51*IFERROR(VLOOKUP(B51,Projects!$A$2:$F$25,6,FALSE),0)</x:f>
        <x:v>140</x:v>
      </x:c>
    </x:row>
    <x:row r="52" ht="21" customHeight="1">
      <x:c r="A52" t="str">
        <x:v>T0051</x:v>
      </x:c>
      <x:c r="B52" t="str">
        <x:v>P022</x:v>
      </x:c>
      <x:c r="C52" t="str">
        <x:v>2026-06-03</x:v>
      </x:c>
      <x:c r="D52" t="n">
        <x:v>2.5</x:v>
      </x:c>
      <x:c r="E52" t="str">
        <x:v>Client meeting</x:v>
      </x:c>
      <x:c r="F52" s="6" t="n">
        <x:f>D52*IFERROR(VLOOKUP(B52,Projects!$A$2:$F$25,6,FALSE),0)</x:f>
        <x:v>200</x:v>
      </x:c>
    </x:row>
    <x:row r="53" ht="21" customHeight="1">
      <x:c r="A53" t="str">
        <x:v>T0052</x:v>
      </x:c>
      <x:c r="B53" t="str">
        <x:v>P005</x:v>
      </x:c>
      <x:c r="C53" t="str">
        <x:v>2026-06-06</x:v>
      </x:c>
      <x:c r="D53" t="n">
        <x:v>3.25</x:v>
      </x:c>
      <x:c r="E53" t="str">
        <x:v>Analysis</x:v>
      </x:c>
      <x:c r="F53" s="6" t="n">
        <x:f>D53*IFERROR(VLOOKUP(B53,Projects!$A$2:$F$25,6,FALSE),0)</x:f>
        <x:v>455</x:v>
      </x:c>
    </x:row>
    <x:row r="54" ht="21" customHeight="1">
      <x:c r="A54" t="str">
        <x:v>T0053</x:v>
      </x:c>
      <x:c r="B54" t="str">
        <x:v>P012</x:v>
      </x:c>
      <x:c r="C54" t="str">
        <x:v>2026-06-09</x:v>
      </x:c>
      <x:c r="D54" t="n">
        <x:v>4</x:v>
      </x:c>
      <x:c r="E54" t="str">
        <x:v>Design</x:v>
      </x:c>
      <x:c r="F54" s="6" t="n">
        <x:f>D54*IFERROR(VLOOKUP(B54,Projects!$A$2:$F$25,6,FALSE),0)</x:f>
        <x:v>560</x:v>
      </x:c>
    </x:row>
    <x:row r="55" ht="21" customHeight="1">
      <x:c r="A55" t="str">
        <x:v>T0054</x:v>
      </x:c>
      <x:c r="B55" t="str">
        <x:v>P019</x:v>
      </x:c>
      <x:c r="C55" t="str">
        <x:v>2026-06-12</x:v>
      </x:c>
      <x:c r="D55" t="n">
        <x:v>4.75</x:v>
      </x:c>
      <x:c r="E55" t="str">
        <x:v>Testing</x:v>
      </x:c>
      <x:c r="F55" s="6" t="n">
        <x:f>D55*IFERROR(VLOOKUP(B55,Projects!$A$2:$F$25,6,FALSE),0)</x:f>
        <x:v>665</x:v>
      </x:c>
    </x:row>
    <x:row r="56" ht="21" customHeight="1">
      <x:c r="A56" t="str">
        <x:v>T0055</x:v>
      </x:c>
      <x:c r="B56" t="str">
        <x:v>P002</x:v>
      </x:c>
      <x:c r="C56" t="str">
        <x:v>2026-06-15</x:v>
      </x:c>
      <x:c r="D56" t="n">
        <x:v>5.5</x:v>
      </x:c>
      <x:c r="E56" t="str">
        <x:v>Client meeting</x:v>
      </x:c>
      <x:c r="F56" s="6" t="n">
        <x:f>D56*IFERROR(VLOOKUP(B56,Projects!$A$2:$F$25,6,FALSE),0)</x:f>
        <x:v>522.5</x:v>
      </x:c>
    </x:row>
    <x:row r="57" ht="21" customHeight="1">
      <x:c r="A57" t="str">
        <x:v>T0056</x:v>
      </x:c>
      <x:c r="B57" t="str">
        <x:v>P009</x:v>
      </x:c>
      <x:c r="C57" t="str">
        <x:v>2026-06-18</x:v>
      </x:c>
      <x:c r="D57" t="n">
        <x:v>1</x:v>
      </x:c>
      <x:c r="E57" t="str">
        <x:v>Analysis</x:v>
      </x:c>
      <x:c r="F57" s="6" t="n">
        <x:f>D57*IFERROR(VLOOKUP(B57,Projects!$A$2:$F$25,6,FALSE),0)</x:f>
        <x:v>95</x:v>
      </x:c>
    </x:row>
    <x:row r="58" ht="21" customHeight="1">
      <x:c r="A58" t="str">
        <x:v>T0057</x:v>
      </x:c>
      <x:c r="B58" t="str">
        <x:v>P016</x:v>
      </x:c>
      <x:c r="C58" t="str">
        <x:v>2026-06-21</x:v>
      </x:c>
      <x:c r="D58" t="n">
        <x:v>1.75</x:v>
      </x:c>
      <x:c r="E58" t="str">
        <x:v>Design</x:v>
      </x:c>
      <x:c r="F58" s="6" t="n">
        <x:f>D58*IFERROR(VLOOKUP(B58,Projects!$A$2:$F$25,6,FALSE),0)</x:f>
        <x:v>166.25</x:v>
      </x:c>
    </x:row>
    <x:row r="59" ht="21" customHeight="1">
      <x:c r="A59" t="str">
        <x:v>T0058</x:v>
      </x:c>
      <x:c r="B59" t="str">
        <x:v>P023</x:v>
      </x:c>
      <x:c r="C59" t="str">
        <x:v>2026-06-24</x:v>
      </x:c>
      <x:c r="D59" t="n">
        <x:v>2.5</x:v>
      </x:c>
      <x:c r="E59" t="str">
        <x:v>Testing</x:v>
      </x:c>
      <x:c r="F59" s="6" t="n">
        <x:f>D59*IFERROR(VLOOKUP(B59,Projects!$A$2:$F$25,6,FALSE),0)</x:f>
        <x:v>237.5</x:v>
      </x:c>
    </x:row>
    <x:row r="60" ht="21" customHeight="1">
      <x:c r="A60" t="str">
        <x:v>T0059</x:v>
      </x:c>
      <x:c r="B60" t="str">
        <x:v>P006</x:v>
      </x:c>
      <x:c r="C60" t="str">
        <x:v>2026-06-27</x:v>
      </x:c>
      <x:c r="D60" t="n">
        <x:v>3.25</x:v>
      </x:c>
      <x:c r="E60" t="str">
        <x:v>Client meeting</x:v>
      </x:c>
      <x:c r="F60" s="6" t="n">
        <x:f>D60*IFERROR(VLOOKUP(B60,Projects!$A$2:$F$25,6,FALSE),0)</x:f>
        <x:v>503.75</x:v>
      </x:c>
    </x:row>
    <x:row r="61" ht="21" customHeight="1">
      <x:c r="A61" t="str">
        <x:v>T0060</x:v>
      </x:c>
      <x:c r="B61" t="str">
        <x:v>P013</x:v>
      </x:c>
      <x:c r="C61" t="str">
        <x:v>2026-06-30</x:v>
      </x:c>
      <x:c r="D61" t="n">
        <x:v>4</x:v>
      </x:c>
      <x:c r="E61" t="str">
        <x:v>Analysis</x:v>
      </x:c>
      <x:c r="F61" s="6" t="n">
        <x:f>D61*IFERROR(VLOOKUP(B61,Projects!$A$2:$F$25,6,FALSE),0)</x:f>
        <x:v>620</x:v>
      </x:c>
    </x:row>
    <x:row r="62" ht="21" customHeight="1">
      <x:c r="A62" t="str">
        <x:v>T0061</x:v>
      </x:c>
      <x:c r="B62" t="str">
        <x:v>P020</x:v>
      </x:c>
      <x:c r="C62" t="str">
        <x:v>2026-07-03</x:v>
      </x:c>
      <x:c r="D62" t="n">
        <x:v>4.75</x:v>
      </x:c>
      <x:c r="E62" t="str">
        <x:v>Design</x:v>
      </x:c>
      <x:c r="F62" s="6" t="n">
        <x:f>D62*IFERROR(VLOOKUP(B62,Projects!$A$2:$F$25,6,FALSE),0)</x:f>
        <x:v>736.25</x:v>
      </x:c>
    </x:row>
    <x:row r="63" ht="21" customHeight="1">
      <x:c r="A63" t="str">
        <x:v>T0062</x:v>
      </x:c>
      <x:c r="B63" t="str">
        <x:v>P003</x:v>
      </x:c>
      <x:c r="C63" t="str">
        <x:v>2026-07-06</x:v>
      </x:c>
      <x:c r="D63" t="n">
        <x:v>5.5</x:v>
      </x:c>
      <x:c r="E63" t="str">
        <x:v>Testing</x:v>
      </x:c>
      <x:c r="F63" s="6" t="n">
        <x:f>D63*IFERROR(VLOOKUP(B63,Projects!$A$2:$F$25,6,FALSE),0)</x:f>
        <x:v>605</x:v>
      </x:c>
    </x:row>
    <x:row r="64" ht="21" customHeight="1">
      <x:c r="A64" t="str">
        <x:v>T0063</x:v>
      </x:c>
      <x:c r="B64" t="str">
        <x:v>P010</x:v>
      </x:c>
      <x:c r="C64" t="str">
        <x:v>2026-07-09</x:v>
      </x:c>
      <x:c r="D64" t="n">
        <x:v>1</x:v>
      </x:c>
      <x:c r="E64" t="str">
        <x:v>Client meeting</x:v>
      </x:c>
      <x:c r="F64" s="6" t="n">
        <x:f>D64*IFERROR(VLOOKUP(B64,Projects!$A$2:$F$25,6,FALSE),0)</x:f>
        <x:v>110</x:v>
      </x:c>
    </x:row>
    <x:row r="65" ht="21" customHeight="1">
      <x:c r="A65" t="str">
        <x:v>T0064</x:v>
      </x:c>
      <x:c r="B65" t="str">
        <x:v>P017</x:v>
      </x:c>
      <x:c r="C65" t="str">
        <x:v>2026-07-12</x:v>
      </x:c>
      <x:c r="D65" t="n">
        <x:v>1.75</x:v>
      </x:c>
      <x:c r="E65" t="str">
        <x:v>Analysis</x:v>
      </x:c>
      <x:c r="F65" s="6" t="n">
        <x:f>D65*IFERROR(VLOOKUP(B65,Projects!$A$2:$F$25,6,FALSE),0)</x:f>
        <x:v>192.5</x:v>
      </x:c>
    </x:row>
    <x:row r="66" ht="21" customHeight="1">
      <x:c r="A66" t="str">
        <x:v>T0065</x:v>
      </x:c>
      <x:c r="B66" t="str">
        <x:v>P024</x:v>
      </x:c>
      <x:c r="C66" t="str">
        <x:v>2026-07-15</x:v>
      </x:c>
      <x:c r="D66" t="n">
        <x:v>2.5</x:v>
      </x:c>
      <x:c r="E66" t="str">
        <x:v>Design</x:v>
      </x:c>
      <x:c r="F66" s="6" t="n">
        <x:f>D66*IFERROR(VLOOKUP(B66,Projects!$A$2:$F$25,6,FALSE),0)</x:f>
        <x:v>275</x:v>
      </x:c>
    </x:row>
    <x:row r="67" ht="21" customHeight="1">
      <x:c r="A67" t="str">
        <x:v>T0066</x:v>
      </x:c>
      <x:c r="B67" t="str">
        <x:v>P007</x:v>
      </x:c>
      <x:c r="C67" t="str">
        <x:v>2026-07-18</x:v>
      </x:c>
      <x:c r="D67" t="n">
        <x:v>3.25</x:v>
      </x:c>
      <x:c r="E67" t="str">
        <x:v>Testing</x:v>
      </x:c>
      <x:c r="F67" s="6" t="n">
        <x:f>D67*IFERROR(VLOOKUP(B67,Projects!$A$2:$F$25,6,FALSE),0)</x:f>
        <x:v>211.25</x:v>
      </x:c>
    </x:row>
    <x:row r="68" ht="21" customHeight="1">
      <x:c r="A68" t="str">
        <x:v>T0067</x:v>
      </x:c>
      <x:c r="B68" t="str">
        <x:v>P014</x:v>
      </x:c>
      <x:c r="C68" t="str">
        <x:v>2026-07-21</x:v>
      </x:c>
      <x:c r="D68" t="n">
        <x:v>4</x:v>
      </x:c>
      <x:c r="E68" t="str">
        <x:v>Client meeting</x:v>
      </x:c>
      <x:c r="F68" s="6" t="n">
        <x:f>D68*IFERROR(VLOOKUP(B68,Projects!$A$2:$F$25,6,FALSE),0)</x:f>
        <x:v>260</x:v>
      </x:c>
    </x:row>
    <x:row r="69" ht="21" customHeight="1">
      <x:c r="A69" t="str">
        <x:v>T0068</x:v>
      </x:c>
      <x:c r="B69" t="str">
        <x:v>P021</x:v>
      </x:c>
      <x:c r="C69" t="str">
        <x:v>2026-07-24</x:v>
      </x:c>
      <x:c r="D69" t="n">
        <x:v>4.75</x:v>
      </x:c>
      <x:c r="E69" t="str">
        <x:v>Analysis</x:v>
      </x:c>
      <x:c r="F69" s="6" t="n">
        <x:f>D69*IFERROR(VLOOKUP(B69,Projects!$A$2:$F$25,6,FALSE),0)</x:f>
        <x:v>308.75</x:v>
      </x:c>
    </x:row>
    <x:row r="70" ht="21" customHeight="1">
      <x:c r="A70" t="str">
        <x:v>T0069</x:v>
      </x:c>
      <x:c r="B70" t="str">
        <x:v>P004</x:v>
      </x:c>
      <x:c r="C70" t="str">
        <x:v>2026-07-27</x:v>
      </x:c>
      <x:c r="D70" t="n">
        <x:v>5.5</x:v>
      </x:c>
      <x:c r="E70" t="str">
        <x:v>Design</x:v>
      </x:c>
      <x:c r="F70" s="6" t="n">
        <x:f>D70*IFERROR(VLOOKUP(B70,Projects!$A$2:$F$25,6,FALSE),0)</x:f>
        <x:v>687.5</x:v>
      </x:c>
    </x:row>
    <x:row r="71" ht="21" customHeight="1">
      <x:c r="A71" t="str">
        <x:v>T0070</x:v>
      </x:c>
      <x:c r="B71" t="str">
        <x:v>P011</x:v>
      </x:c>
      <x:c r="C71" t="str">
        <x:v>2026-07-30</x:v>
      </x:c>
      <x:c r="D71" t="n">
        <x:v>1</x:v>
      </x:c>
      <x:c r="E71" t="str">
        <x:v>Testing</x:v>
      </x:c>
      <x:c r="F71" s="6" t="n">
        <x:f>D71*IFERROR(VLOOKUP(B71,Projects!$A$2:$F$25,6,FALSE),0)</x:f>
        <x:v>125</x:v>
      </x:c>
    </x:row>
    <x:row r="72" ht="21" customHeight="1">
      <x:c r="A72" t="str">
        <x:v>T0071</x:v>
      </x:c>
      <x:c r="B72" t="str">
        <x:v>P018</x:v>
      </x:c>
      <x:c r="C72" t="str">
        <x:v>2026-08-02</x:v>
      </x:c>
      <x:c r="D72" t="n">
        <x:v>1.75</x:v>
      </x:c>
      <x:c r="E72" t="str">
        <x:v>Client meeting</x:v>
      </x:c>
      <x:c r="F72" s="6" t="n">
        <x:f>D72*IFERROR(VLOOKUP(B72,Projects!$A$2:$F$25,6,FALSE),0)</x:f>
        <x:v>218.75</x:v>
      </x:c>
    </x:row>
    <x:row r="73" ht="21" customHeight="1">
      <x:c r="A73" t="str">
        <x:v>T0072</x:v>
      </x:c>
      <x:c r="B73" t="str">
        <x:v>P001</x:v>
      </x:c>
      <x:c r="C73" t="str">
        <x:v>2026-08-05</x:v>
      </x:c>
      <x:c r="D73" t="n">
        <x:v>2.5</x:v>
      </x:c>
      <x:c r="E73" t="str">
        <x:v>Analysis</x:v>
      </x:c>
      <x:c r="F73" s="6" t="n">
        <x:f>D73*IFERROR(VLOOKUP(B73,Projects!$A$2:$F$25,6,FALSE),0)</x:f>
        <x:v>200</x:v>
      </x:c>
    </x:row>
    <x:row r="74" ht="21" customHeight="1">
      <x:c r="A74" t="str">
        <x:v>T0073</x:v>
      </x:c>
      <x:c r="B74" t="str">
        <x:v>P008</x:v>
      </x:c>
      <x:c r="C74" t="str">
        <x:v>2026-08-08</x:v>
      </x:c>
      <x:c r="D74" t="n">
        <x:v>3.25</x:v>
      </x:c>
      <x:c r="E74" t="str">
        <x:v>Design</x:v>
      </x:c>
      <x:c r="F74" s="6" t="n">
        <x:f>D74*IFERROR(VLOOKUP(B74,Projects!$A$2:$F$25,6,FALSE),0)</x:f>
        <x:v>260</x:v>
      </x:c>
    </x:row>
    <x:row r="75" ht="21" customHeight="1">
      <x:c r="A75" t="str">
        <x:v>T0074</x:v>
      </x:c>
      <x:c r="B75" t="str">
        <x:v>P015</x:v>
      </x:c>
      <x:c r="C75" t="str">
        <x:v>2026-08-11</x:v>
      </x:c>
      <x:c r="D75" t="n">
        <x:v>4</x:v>
      </x:c>
      <x:c r="E75" t="str">
        <x:v>Testing</x:v>
      </x:c>
      <x:c r="F75" s="6" t="n">
        <x:f>D75*IFERROR(VLOOKUP(B75,Projects!$A$2:$F$25,6,FALSE),0)</x:f>
        <x:v>320</x:v>
      </x:c>
    </x:row>
    <x:row r="76" ht="21" customHeight="1">
      <x:c r="A76" t="str">
        <x:v>T0075</x:v>
      </x:c>
      <x:c r="B76" t="str">
        <x:v>P022</x:v>
      </x:c>
      <x:c r="C76" t="str">
        <x:v>2026-08-14</x:v>
      </x:c>
      <x:c r="D76" t="n">
        <x:v>4.75</x:v>
      </x:c>
      <x:c r="E76" t="str">
        <x:v>Client meeting</x:v>
      </x:c>
      <x:c r="F76" s="6" t="n">
        <x:f>D76*IFERROR(VLOOKUP(B76,Projects!$A$2:$F$25,6,FALSE),0)</x:f>
        <x:v>380</x:v>
      </x:c>
    </x:row>
    <x:row r="77" ht="21" customHeight="1">
      <x:c r="A77" t="str">
        <x:v>T0076</x:v>
      </x:c>
      <x:c r="B77" t="str">
        <x:v>P005</x:v>
      </x:c>
      <x:c r="C77" t="str">
        <x:v>2026-08-17</x:v>
      </x:c>
      <x:c r="D77" t="n">
        <x:v>5.5</x:v>
      </x:c>
      <x:c r="E77" t="str">
        <x:v>Analysis</x:v>
      </x:c>
      <x:c r="F77" s="6" t="n">
        <x:f>D77*IFERROR(VLOOKUP(B77,Projects!$A$2:$F$25,6,FALSE),0)</x:f>
        <x:v>770</x:v>
      </x:c>
    </x:row>
    <x:row r="78" ht="21" customHeight="1">
      <x:c r="A78" t="str">
        <x:v>T0077</x:v>
      </x:c>
      <x:c r="B78" t="str">
        <x:v>P012</x:v>
      </x:c>
      <x:c r="C78" t="str">
        <x:v>2026-08-20</x:v>
      </x:c>
      <x:c r="D78" t="n">
        <x:v>1</x:v>
      </x:c>
      <x:c r="E78" t="str">
        <x:v>Design</x:v>
      </x:c>
      <x:c r="F78" s="6" t="n">
        <x:f>D78*IFERROR(VLOOKUP(B78,Projects!$A$2:$F$25,6,FALSE),0)</x:f>
        <x:v>140</x:v>
      </x:c>
    </x:row>
    <x:row r="79" ht="21" customHeight="1">
      <x:c r="A79" t="str">
        <x:v>T0078</x:v>
      </x:c>
      <x:c r="B79" t="str">
        <x:v>P019</x:v>
      </x:c>
      <x:c r="C79" t="str">
        <x:v>2026-08-23</x:v>
      </x:c>
      <x:c r="D79" t="n">
        <x:v>1.75</x:v>
      </x:c>
      <x:c r="E79" t="str">
        <x:v>Testing</x:v>
      </x:c>
      <x:c r="F79" s="6" t="n">
        <x:f>D79*IFERROR(VLOOKUP(B79,Projects!$A$2:$F$25,6,FALSE),0)</x:f>
        <x:v>245</x:v>
      </x:c>
    </x:row>
    <x:row r="80" ht="21" customHeight="1">
      <x:c r="A80" t="str">
        <x:v>T0079</x:v>
      </x:c>
      <x:c r="B80" t="str">
        <x:v>P002</x:v>
      </x:c>
      <x:c r="C80" t="str">
        <x:v>2026-08-26</x:v>
      </x:c>
      <x:c r="D80" t="n">
        <x:v>2.5</x:v>
      </x:c>
      <x:c r="E80" t="str">
        <x:v>Client meeting</x:v>
      </x:c>
      <x:c r="F80" s="6" t="n">
        <x:f>D80*IFERROR(VLOOKUP(B80,Projects!$A$2:$F$25,6,FALSE),0)</x:f>
        <x:v>237.5</x:v>
      </x:c>
    </x:row>
    <x:row r="81" ht="21" customHeight="1">
      <x:c r="A81" t="str">
        <x:v>T0080</x:v>
      </x:c>
      <x:c r="B81" t="str">
        <x:v>P009</x:v>
      </x:c>
      <x:c r="C81" t="str">
        <x:v>2026-08-29</x:v>
      </x:c>
      <x:c r="D81" t="n">
        <x:v>3.25</x:v>
      </x:c>
      <x:c r="E81" t="str">
        <x:v>Analysis</x:v>
      </x:c>
      <x:c r="F81" s="6" t="n">
        <x:f>D81*IFERROR(VLOOKUP(B81,Projects!$A$2:$F$25,6,FALSE),0)</x:f>
        <x:v>308.75</x:v>
      </x:c>
    </x:row>
    <x:row r="82" ht="21" customHeight="1">
      <x:c r="A82" t="str">
        <x:v>T0081</x:v>
      </x:c>
      <x:c r="B82" t="str">
        <x:v>P016</x:v>
      </x:c>
      <x:c r="C82" t="str">
        <x:v>2026-09-01</x:v>
      </x:c>
      <x:c r="D82" t="n">
        <x:v>4</x:v>
      </x:c>
      <x:c r="E82" t="str">
        <x:v>Design</x:v>
      </x:c>
      <x:c r="F82" s="6" t="n">
        <x:f>D82*IFERROR(VLOOKUP(B82,Projects!$A$2:$F$25,6,FALSE),0)</x:f>
        <x:v>380</x:v>
      </x:c>
    </x:row>
    <x:row r="83" ht="21" customHeight="1">
      <x:c r="A83" t="str">
        <x:v>T0082</x:v>
      </x:c>
      <x:c r="B83" t="str">
        <x:v>P023</x:v>
      </x:c>
      <x:c r="C83" t="str">
        <x:v>2026-09-04</x:v>
      </x:c>
      <x:c r="D83" t="n">
        <x:v>4.75</x:v>
      </x:c>
      <x:c r="E83" t="str">
        <x:v>Testing</x:v>
      </x:c>
      <x:c r="F83" s="6" t="n">
        <x:f>D83*IFERROR(VLOOKUP(B83,Projects!$A$2:$F$25,6,FALSE),0)</x:f>
        <x:v>451.25</x:v>
      </x:c>
    </x:row>
    <x:row r="84" ht="21" customHeight="1">
      <x:c r="A84" t="str">
        <x:v>T0083</x:v>
      </x:c>
      <x:c r="B84" t="str">
        <x:v>P006</x:v>
      </x:c>
      <x:c r="C84" t="str">
        <x:v>2026-09-07</x:v>
      </x:c>
      <x:c r="D84" t="n">
        <x:v>5.5</x:v>
      </x:c>
      <x:c r="E84" t="str">
        <x:v>Client meeting</x:v>
      </x:c>
      <x:c r="F84" s="6" t="n">
        <x:f>D84*IFERROR(VLOOKUP(B84,Projects!$A$2:$F$25,6,FALSE),0)</x:f>
        <x:v>852.5</x:v>
      </x:c>
    </x:row>
    <x:row r="85" ht="21" customHeight="1">
      <x:c r="A85" t="str">
        <x:v>T0084</x:v>
      </x:c>
      <x:c r="B85" t="str">
        <x:v>P013</x:v>
      </x:c>
      <x:c r="C85" t="str">
        <x:v>2026-09-10</x:v>
      </x:c>
      <x:c r="D85" t="n">
        <x:v>1</x:v>
      </x:c>
      <x:c r="E85" t="str">
        <x:v>Analysis</x:v>
      </x:c>
      <x:c r="F85" s="6" t="n">
        <x:f>D85*IFERROR(VLOOKUP(B85,Projects!$A$2:$F$25,6,FALSE),0)</x:f>
        <x:v>155</x:v>
      </x:c>
    </x:row>
    <x:row r="86" ht="21" customHeight="1">
      <x:c r="A86" t="str">
        <x:v>T0085</x:v>
      </x:c>
      <x:c r="B86" t="str">
        <x:v>P020</x:v>
      </x:c>
      <x:c r="C86" t="str">
        <x:v>2026-09-13</x:v>
      </x:c>
      <x:c r="D86" t="n">
        <x:v>1.75</x:v>
      </x:c>
      <x:c r="E86" t="str">
        <x:v>Design</x:v>
      </x:c>
      <x:c r="F86" s="6" t="n">
        <x:f>D86*IFERROR(VLOOKUP(B86,Projects!$A$2:$F$25,6,FALSE),0)</x:f>
        <x:v>271.25</x:v>
      </x:c>
    </x:row>
    <x:row r="87" ht="21" customHeight="1">
      <x:c r="A87" t="str">
        <x:v>T0086</x:v>
      </x:c>
      <x:c r="B87" t="str">
        <x:v>P003</x:v>
      </x:c>
      <x:c r="C87" t="str">
        <x:v>2026-09-16</x:v>
      </x:c>
      <x:c r="D87" t="n">
        <x:v>2.5</x:v>
      </x:c>
      <x:c r="E87" t="str">
        <x:v>Testing</x:v>
      </x:c>
      <x:c r="F87" s="6" t="n">
        <x:f>D87*IFERROR(VLOOKUP(B87,Projects!$A$2:$F$25,6,FALSE),0)</x:f>
        <x:v>275</x:v>
      </x:c>
    </x:row>
    <x:row r="88" ht="21" customHeight="1">
      <x:c r="A88" t="str">
        <x:v>T0087</x:v>
      </x:c>
      <x:c r="B88" t="str">
        <x:v>P010</x:v>
      </x:c>
      <x:c r="C88" t="str">
        <x:v>2026-09-19</x:v>
      </x:c>
      <x:c r="D88" t="n">
        <x:v>3.25</x:v>
      </x:c>
      <x:c r="E88" t="str">
        <x:v>Client meeting</x:v>
      </x:c>
      <x:c r="F88" s="6" t="n">
        <x:f>D88*IFERROR(VLOOKUP(B88,Projects!$A$2:$F$25,6,FALSE),0)</x:f>
        <x:v>357.5</x:v>
      </x:c>
    </x:row>
    <x:row r="89" ht="21" customHeight="1">
      <x:c r="A89" t="str">
        <x:v>T0088</x:v>
      </x:c>
      <x:c r="B89" t="str">
        <x:v>P017</x:v>
      </x:c>
      <x:c r="C89" t="str">
        <x:v>2026-09-22</x:v>
      </x:c>
      <x:c r="D89" t="n">
        <x:v>4</x:v>
      </x:c>
      <x:c r="E89" t="str">
        <x:v>Analysis</x:v>
      </x:c>
      <x:c r="F89" s="6" t="n">
        <x:f>D89*IFERROR(VLOOKUP(B89,Projects!$A$2:$F$25,6,FALSE),0)</x:f>
        <x:v>440</x:v>
      </x:c>
    </x:row>
    <x:row r="90" ht="21" customHeight="1">
      <x:c r="A90" t="str">
        <x:v>T0089</x:v>
      </x:c>
      <x:c r="B90" t="str">
        <x:v>P024</x:v>
      </x:c>
      <x:c r="C90" t="str">
        <x:v>2026-09-25</x:v>
      </x:c>
      <x:c r="D90" t="n">
        <x:v>4.75</x:v>
      </x:c>
      <x:c r="E90" t="str">
        <x:v>Design</x:v>
      </x:c>
      <x:c r="F90" s="6" t="n">
        <x:f>D90*IFERROR(VLOOKUP(B90,Projects!$A$2:$F$25,6,FALSE),0)</x:f>
        <x:v>522.5</x:v>
      </x:c>
    </x:row>
    <x:row r="91" ht="21" customHeight="1">
      <x:c r="A91" t="str">
        <x:v>T0090</x:v>
      </x:c>
      <x:c r="B91" t="str">
        <x:v>P007</x:v>
      </x:c>
      <x:c r="C91" t="str">
        <x:v>2026-09-28</x:v>
      </x:c>
      <x:c r="D91" t="n">
        <x:v>5.5</x:v>
      </x:c>
      <x:c r="E91" t="str">
        <x:v>Testing</x:v>
      </x:c>
      <x:c r="F91" s="6" t="n">
        <x:f>D91*IFERROR(VLOOKUP(B91,Projects!$A$2:$F$25,6,FALSE),0)</x:f>
        <x:v>357.5</x:v>
      </x:c>
    </x:row>
    <x:row r="92" ht="21" customHeight="1">
      <x:c r="A92" t="str">
        <x:v>T0091</x:v>
      </x:c>
      <x:c r="B92" t="str">
        <x:v>P014</x:v>
      </x:c>
      <x:c r="C92" t="str">
        <x:v>2026-10-01</x:v>
      </x:c>
      <x:c r="D92" t="n">
        <x:v>1</x:v>
      </x:c>
      <x:c r="E92" t="str">
        <x:v>Client meeting</x:v>
      </x:c>
      <x:c r="F92" s="6" t="n">
        <x:f>D92*IFERROR(VLOOKUP(B92,Projects!$A$2:$F$25,6,FALSE),0)</x:f>
        <x:v>65</x:v>
      </x:c>
    </x:row>
    <x:row r="93" ht="21" customHeight="1">
      <x:c r="A93" t="str">
        <x:v>T0092</x:v>
      </x:c>
      <x:c r="B93" t="str">
        <x:v>P021</x:v>
      </x:c>
      <x:c r="C93" t="str">
        <x:v>2026-10-04</x:v>
      </x:c>
      <x:c r="D93" t="n">
        <x:v>1.75</x:v>
      </x:c>
      <x:c r="E93" t="str">
        <x:v>Analysis</x:v>
      </x:c>
      <x:c r="F93" s="6" t="n">
        <x:f>D93*IFERROR(VLOOKUP(B93,Projects!$A$2:$F$25,6,FALSE),0)</x:f>
        <x:v>113.75</x:v>
      </x:c>
    </x:row>
    <x:row r="94" ht="21" customHeight="1">
      <x:c r="A94" t="str">
        <x:v>T0093</x:v>
      </x:c>
      <x:c r="B94" t="str">
        <x:v>P004</x:v>
      </x:c>
      <x:c r="C94" t="str">
        <x:v>2026-10-07</x:v>
      </x:c>
      <x:c r="D94" t="n">
        <x:v>2.5</x:v>
      </x:c>
      <x:c r="E94" t="str">
        <x:v>Design</x:v>
      </x:c>
      <x:c r="F94" s="6" t="n">
        <x:f>D94*IFERROR(VLOOKUP(B94,Projects!$A$2:$F$25,6,FALSE),0)</x:f>
        <x:v>312.5</x:v>
      </x:c>
    </x:row>
    <x:row r="95" ht="21" customHeight="1">
      <x:c r="A95" t="str">
        <x:v>T0094</x:v>
      </x:c>
      <x:c r="B95" t="str">
        <x:v>P011</x:v>
      </x:c>
      <x:c r="C95" t="str">
        <x:v>2026-10-10</x:v>
      </x:c>
      <x:c r="D95" t="n">
        <x:v>3.25</x:v>
      </x:c>
      <x:c r="E95" t="str">
        <x:v>Testing</x:v>
      </x:c>
      <x:c r="F95" s="6" t="n">
        <x:f>D95*IFERROR(VLOOKUP(B95,Projects!$A$2:$F$25,6,FALSE),0)</x:f>
        <x:v>406.25</x:v>
      </x:c>
    </x:row>
    <x:row r="96" ht="21" customHeight="1">
      <x:c r="A96" t="str">
        <x:v>T0095</x:v>
      </x:c>
      <x:c r="B96" t="str">
        <x:v>P018</x:v>
      </x:c>
      <x:c r="C96" t="str">
        <x:v>2026-10-13</x:v>
      </x:c>
      <x:c r="D96" t="n">
        <x:v>4</x:v>
      </x:c>
      <x:c r="E96" t="str">
        <x:v>Client meeting</x:v>
      </x:c>
      <x:c r="F96" s="6" t="n">
        <x:f>D96*IFERROR(VLOOKUP(B96,Projects!$A$2:$F$25,6,FALSE),0)</x:f>
        <x:v>500</x:v>
      </x:c>
    </x:row>
    <x:row r="97" ht="21" customHeight="1">
      <x:c r="A97" t="str">
        <x:v>T0096</x:v>
      </x:c>
      <x:c r="B97" t="str">
        <x:v>P001</x:v>
      </x:c>
      <x:c r="C97" t="str">
        <x:v>2026-10-16</x:v>
      </x:c>
      <x:c r="D97" t="n">
        <x:v>4.75</x:v>
      </x:c>
      <x:c r="E97" t="str">
        <x:v>Analysis</x:v>
      </x:c>
      <x:c r="F97" s="6" t="n">
        <x:f>D97*IFERROR(VLOOKUP(B97,Projects!$A$2:$F$25,6,FALSE),0)</x:f>
        <x:v>380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</x:cols>
  <x:sheetData>
    <x:row r="1" ht="21" customHeight="1">
      <x:c r="A1" s="3" t="str">
        <x:v>Invoice ID</x:v>
      </x:c>
      <x:c r="B1" s="3" t="str">
        <x:v>Project ID</x:v>
      </x:c>
      <x:c r="C1" s="3" t="str">
        <x:v>Issue Date</x:v>
      </x:c>
      <x:c r="D1" s="3" t="str">
        <x:v>Due Date</x:v>
      </x:c>
      <x:c r="E1" s="3" t="str">
        <x:v>Amount EUR</x:v>
      </x:c>
      <x:c r="F1" s="3" t="str">
        <x:v>Payment Status</x:v>
      </x:c>
    </x:row>
    <x:row r="2" ht="21" customHeight="1">
      <x:c r="A2" t="str">
        <x:v>INV-001</x:v>
      </x:c>
      <x:c r="B2" t="str">
        <x:v>P006</x:v>
      </x:c>
      <x:c r="C2" t="str">
        <x:v>2026-01-13</x:v>
      </x:c>
      <x:c r="D2" t="str">
        <x:v>2026-02-12</x:v>
      </x:c>
      <x:c r="E2" s="6" t="n">
        <x:v>525</x:v>
      </x:c>
      <x:c r="F2" t="str">
        <x:v>Paid</x:v>
      </x:c>
    </x:row>
    <x:row r="3" ht="21" customHeight="1">
      <x:c r="A3" t="str">
        <x:v>INV-002</x:v>
      </x:c>
      <x:c r="B3" t="str">
        <x:v>P011</x:v>
      </x:c>
      <x:c r="C3" t="str">
        <x:v>2026-01-23</x:v>
      </x:c>
      <x:c r="D3" t="str">
        <x:v>2026-02-22</x:v>
      </x:c>
      <x:c r="E3" s="6" t="n">
        <x:v>700</x:v>
      </x:c>
      <x:c r="F3" t="str">
        <x:v>Outstanding</x:v>
      </x:c>
    </x:row>
    <x:row r="4" ht="21" customHeight="1">
      <x:c r="A4" t="str">
        <x:v>INV-003</x:v>
      </x:c>
      <x:c r="B4" t="str">
        <x:v>P016</x:v>
      </x:c>
      <x:c r="C4" t="str">
        <x:v>2026-02-02</x:v>
      </x:c>
      <x:c r="D4" t="str">
        <x:v>2026-03-04</x:v>
      </x:c>
      <x:c r="E4" s="6" t="n">
        <x:v>875</x:v>
      </x:c>
      <x:c r="F4" t="str">
        <x:v>Overdue</x:v>
      </x:c>
    </x:row>
    <x:row r="5" ht="21" customHeight="1">
      <x:c r="A5" t="str">
        <x:v>INV-004</x:v>
      </x:c>
      <x:c r="B5" t="str">
        <x:v>P021</x:v>
      </x:c>
      <x:c r="C5" t="str">
        <x:v>2026-02-12</x:v>
      </x:c>
      <x:c r="D5" t="str">
        <x:v>2026-03-14</x:v>
      </x:c>
      <x:c r="E5" s="6" t="n">
        <x:v>1050</x:v>
      </x:c>
      <x:c r="F5" t="str">
        <x:v>Paid</x:v>
      </x:c>
    </x:row>
    <x:row r="6" ht="21" customHeight="1">
      <x:c r="A6" t="str">
        <x:v>INV-005</x:v>
      </x:c>
      <x:c r="B6" t="str">
        <x:v>P002</x:v>
      </x:c>
      <x:c r="C6" t="str">
        <x:v>2026-02-22</x:v>
      </x:c>
      <x:c r="D6" t="str">
        <x:v>2026-03-24</x:v>
      </x:c>
      <x:c r="E6" s="6" t="n">
        <x:v>1225</x:v>
      </x:c>
      <x:c r="F6" t="str">
        <x:v>Paid</x:v>
      </x:c>
    </x:row>
    <x:row r="7" ht="21" customHeight="1">
      <x:c r="A7" t="str">
        <x:v>INV-006</x:v>
      </x:c>
      <x:c r="B7" t="str">
        <x:v>P007</x:v>
      </x:c>
      <x:c r="C7" t="str">
        <x:v>2026-03-04</x:v>
      </x:c>
      <x:c r="D7" t="str">
        <x:v>2026-04-03</x:v>
      </x:c>
      <x:c r="E7" s="6" t="n">
        <x:v>1400</x:v>
      </x:c>
      <x:c r="F7" t="str">
        <x:v>Outstanding</x:v>
      </x:c>
    </x:row>
    <x:row r="8" ht="21" customHeight="1">
      <x:c r="A8" t="str">
        <x:v>INV-007</x:v>
      </x:c>
      <x:c r="B8" t="str">
        <x:v>P012</x:v>
      </x:c>
      <x:c r="C8" t="str">
        <x:v>2026-03-14</x:v>
      </x:c>
      <x:c r="D8" t="str">
        <x:v>2026-04-13</x:v>
      </x:c>
      <x:c r="E8" s="6" t="n">
        <x:v>1575</x:v>
      </x:c>
      <x:c r="F8" t="str">
        <x:v>Overdue</x:v>
      </x:c>
    </x:row>
    <x:row r="9" ht="21" customHeight="1">
      <x:c r="A9" t="str">
        <x:v>INV-008</x:v>
      </x:c>
      <x:c r="B9" t="str">
        <x:v>P017</x:v>
      </x:c>
      <x:c r="C9" t="str">
        <x:v>2026-03-24</x:v>
      </x:c>
      <x:c r="D9" t="str">
        <x:v>2026-04-23</x:v>
      </x:c>
      <x:c r="E9" s="6" t="n">
        <x:v>1750</x:v>
      </x:c>
      <x:c r="F9" t="str">
        <x:v>Paid</x:v>
      </x:c>
    </x:row>
    <x:row r="10" ht="21" customHeight="1">
      <x:c r="A10" t="str">
        <x:v>INV-009</x:v>
      </x:c>
      <x:c r="B10" t="str">
        <x:v>P022</x:v>
      </x:c>
      <x:c r="C10" t="str">
        <x:v>2026-04-03</x:v>
      </x:c>
      <x:c r="D10" t="str">
        <x:v>2026-05-03</x:v>
      </x:c>
      <x:c r="E10" s="6" t="n">
        <x:v>1925</x:v>
      </x:c>
      <x:c r="F10" t="str">
        <x:v>Paid</x:v>
      </x:c>
    </x:row>
    <x:row r="11" ht="21" customHeight="1">
      <x:c r="A11" t="str">
        <x:v>INV-010</x:v>
      </x:c>
      <x:c r="B11" t="str">
        <x:v>P003</x:v>
      </x:c>
      <x:c r="C11" t="str">
        <x:v>2026-04-13</x:v>
      </x:c>
      <x:c r="D11" t="str">
        <x:v>2026-05-13</x:v>
      </x:c>
      <x:c r="E11" s="6" t="n">
        <x:v>2100</x:v>
      </x:c>
      <x:c r="F11" t="str">
        <x:v>Outstanding</x:v>
      </x:c>
    </x:row>
    <x:row r="12" ht="21" customHeight="1">
      <x:c r="A12" t="str">
        <x:v>INV-011</x:v>
      </x:c>
      <x:c r="B12" t="str">
        <x:v>P008</x:v>
      </x:c>
      <x:c r="C12" t="str">
        <x:v>2026-04-23</x:v>
      </x:c>
      <x:c r="D12" t="str">
        <x:v>2026-05-23</x:v>
      </x:c>
      <x:c r="E12" s="6" t="n">
        <x:v>350</x:v>
      </x:c>
      <x:c r="F12" t="str">
        <x:v>Overdue</x:v>
      </x:c>
    </x:row>
    <x:row r="13" ht="21" customHeight="1">
      <x:c r="A13" t="str">
        <x:v>INV-012</x:v>
      </x:c>
      <x:c r="B13" t="str">
        <x:v>P013</x:v>
      </x:c>
      <x:c r="C13" t="str">
        <x:v>2026-05-03</x:v>
      </x:c>
      <x:c r="D13" t="str">
        <x:v>2026-06-02</x:v>
      </x:c>
      <x:c r="E13" s="6" t="n">
        <x:v>525</x:v>
      </x:c>
      <x:c r="F13" t="str">
        <x:v>Paid</x:v>
      </x:c>
    </x:row>
    <x:row r="14" ht="21" customHeight="1">
      <x:c r="A14" t="str">
        <x:v>INV-013</x:v>
      </x:c>
      <x:c r="B14" t="str">
        <x:v>P018</x:v>
      </x:c>
      <x:c r="C14" t="str">
        <x:v>2026-05-13</x:v>
      </x:c>
      <x:c r="D14" t="str">
        <x:v>2026-06-12</x:v>
      </x:c>
      <x:c r="E14" s="6" t="n">
        <x:v>700</x:v>
      </x:c>
      <x:c r="F14" t="str">
        <x:v>Paid</x:v>
      </x:c>
    </x:row>
    <x:row r="15" ht="21" customHeight="1">
      <x:c r="A15" t="str">
        <x:v>INV-014</x:v>
      </x:c>
      <x:c r="B15" t="str">
        <x:v>P023</x:v>
      </x:c>
      <x:c r="C15" t="str">
        <x:v>2026-05-23</x:v>
      </x:c>
      <x:c r="D15" t="str">
        <x:v>2026-06-22</x:v>
      </x:c>
      <x:c r="E15" s="6" t="n">
        <x:v>875</x:v>
      </x:c>
      <x:c r="F15" t="str">
        <x:v>Outstanding</x:v>
      </x:c>
    </x:row>
    <x:row r="16" ht="21" customHeight="1">
      <x:c r="A16" t="str">
        <x:v>INV-015</x:v>
      </x:c>
      <x:c r="B16" t="str">
        <x:v>P004</x:v>
      </x:c>
      <x:c r="C16" t="str">
        <x:v>2026-06-02</x:v>
      </x:c>
      <x:c r="D16" t="str">
        <x:v>2026-07-02</x:v>
      </x:c>
      <x:c r="E16" s="6" t="n">
        <x:v>1050</x:v>
      </x:c>
      <x:c r="F16" t="str">
        <x:v>Overdue</x:v>
      </x:c>
    </x:row>
    <x:row r="17" ht="21" customHeight="1">
      <x:c r="A17" t="str">
        <x:v>INV-016</x:v>
      </x:c>
      <x:c r="B17" t="str">
        <x:v>P009</x:v>
      </x:c>
      <x:c r="C17" t="str">
        <x:v>2026-06-12</x:v>
      </x:c>
      <x:c r="D17" t="str">
        <x:v>2026-07-12</x:v>
      </x:c>
      <x:c r="E17" s="6" t="n">
        <x:v>1225</x:v>
      </x:c>
      <x:c r="F17" t="str">
        <x:v>Paid</x:v>
      </x:c>
    </x:row>
    <x:row r="18" ht="21" customHeight="1">
      <x:c r="A18" t="str">
        <x:v>INV-017</x:v>
      </x:c>
      <x:c r="B18" t="str">
        <x:v>P014</x:v>
      </x:c>
      <x:c r="C18" t="str">
        <x:v>2026-06-22</x:v>
      </x:c>
      <x:c r="D18" t="str">
        <x:v>2026-07-22</x:v>
      </x:c>
      <x:c r="E18" s="6" t="n">
        <x:v>1400</x:v>
      </x:c>
      <x:c r="F18" t="str">
        <x:v>Paid</x:v>
      </x:c>
    </x:row>
    <x:row r="19" ht="21" customHeight="1">
      <x:c r="A19" t="str">
        <x:v>INV-018</x:v>
      </x:c>
      <x:c r="B19" t="str">
        <x:v>P019</x:v>
      </x:c>
      <x:c r="C19" t="str">
        <x:v>2026-07-02</x:v>
      </x:c>
      <x:c r="D19" t="str">
        <x:v>2026-08-01</x:v>
      </x:c>
      <x:c r="E19" s="6" t="n">
        <x:v>1575</x:v>
      </x:c>
      <x:c r="F19" t="str">
        <x:v>Outstanding</x:v>
      </x:c>
    </x:row>
    <x:row r="20" ht="21" customHeight="1">
      <x:c r="A20" t="str">
        <x:v>INV-019</x:v>
      </x:c>
      <x:c r="B20" t="str">
        <x:v>P024</x:v>
      </x:c>
      <x:c r="C20" t="str">
        <x:v>2026-07-12</x:v>
      </x:c>
      <x:c r="D20" t="str">
        <x:v>2026-08-11</x:v>
      </x:c>
      <x:c r="E20" s="6" t="n">
        <x:v>1750</x:v>
      </x:c>
      <x:c r="F20" t="str">
        <x:v>Overdue</x:v>
      </x:c>
    </x:row>
    <x:row r="21" ht="21" customHeight="1">
      <x:c r="A21" t="str">
        <x:v>INV-020</x:v>
      </x:c>
      <x:c r="B21" t="str">
        <x:v>P005</x:v>
      </x:c>
      <x:c r="C21" t="str">
        <x:v>2026-07-22</x:v>
      </x:c>
      <x:c r="D21" t="str">
        <x:v>2026-08-21</x:v>
      </x:c>
      <x:c r="E21" s="6" t="n">
        <x:v>1925</x:v>
      </x:c>
      <x:c r="F21" t="str">
        <x:v>Paid</x:v>
      </x:c>
    </x:row>
    <x:row r="22" ht="21" customHeight="1">
      <x:c r="A22" t="str">
        <x:v>INV-021</x:v>
      </x:c>
      <x:c r="B22" t="str">
        <x:v>P010</x:v>
      </x:c>
      <x:c r="C22" t="str">
        <x:v>2026-08-01</x:v>
      </x:c>
      <x:c r="D22" t="str">
        <x:v>2026-08-31</x:v>
      </x:c>
      <x:c r="E22" s="6" t="n">
        <x:v>2100</x:v>
      </x:c>
      <x:c r="F22" t="str">
        <x:v>Paid</x:v>
      </x:c>
    </x:row>
    <x:row r="23" ht="21" customHeight="1">
      <x:c r="A23" t="str">
        <x:v>INV-022</x:v>
      </x:c>
      <x:c r="B23" t="str">
        <x:v>P015</x:v>
      </x:c>
      <x:c r="C23" t="str">
        <x:v>2026-08-11</x:v>
      </x:c>
      <x:c r="D23" t="str">
        <x:v>2026-09-10</x:v>
      </x:c>
      <x:c r="E23" s="6" t="n">
        <x:v>350</x:v>
      </x:c>
      <x:c r="F23" t="str">
        <x:v>Outstanding</x:v>
      </x:c>
    </x:row>
    <x:row r="24" ht="21" customHeight="1">
      <x:c r="A24" t="str">
        <x:v>INV-023</x:v>
      </x:c>
      <x:c r="B24" t="str">
        <x:v>P020</x:v>
      </x:c>
      <x:c r="C24" t="str">
        <x:v>2026-08-21</x:v>
      </x:c>
      <x:c r="D24" t="str">
        <x:v>2026-09-20</x:v>
      </x:c>
      <x:c r="E24" s="6" t="n">
        <x:v>525</x:v>
      </x:c>
      <x:c r="F24" t="str">
        <x:v>Overdue</x:v>
      </x:c>
    </x:row>
    <x:row r="25" ht="21" customHeight="1">
      <x:c r="A25" t="str">
        <x:v>INV-024</x:v>
      </x:c>
      <x:c r="B25" t="str">
        <x:v>P001</x:v>
      </x:c>
      <x:c r="C25" t="str">
        <x:v>2026-08-31</x:v>
      </x:c>
      <x:c r="D25" t="str">
        <x:v>2026-09-30</x:v>
      </x:c>
      <x:c r="E25" s="6" t="n">
        <x:v>700</x:v>
      </x:c>
      <x:c r="F25" t="str">
        <x:v>Paid</x:v>
      </x:c>
    </x:row>
    <x:row r="26" ht="21" customHeight="1">
      <x:c r="A26" t="str">
        <x:v>INV-025</x:v>
      </x:c>
      <x:c r="B26" t="str">
        <x:v>P006</x:v>
      </x:c>
      <x:c r="C26" t="str">
        <x:v>2026-09-10</x:v>
      </x:c>
      <x:c r="D26" t="str">
        <x:v>2026-10-10</x:v>
      </x:c>
      <x:c r="E26" s="6" t="n">
        <x:v>875</x:v>
      </x:c>
      <x:c r="F26" t="str">
        <x:v>Paid</x:v>
      </x:c>
    </x:row>
    <x:row r="27" ht="21" customHeight="1">
      <x:c r="A27" t="str">
        <x:v>INV-026</x:v>
      </x:c>
      <x:c r="B27" t="str">
        <x:v>P011</x:v>
      </x:c>
      <x:c r="C27" t="str">
        <x:v>2026-09-20</x:v>
      </x:c>
      <x:c r="D27" t="str">
        <x:v>2026-10-20</x:v>
      </x:c>
      <x:c r="E27" s="6" t="n">
        <x:v>1050</x:v>
      </x:c>
      <x:c r="F27" t="str">
        <x:v>Outstanding</x:v>
      </x:c>
    </x:row>
    <x:row r="28" ht="21" customHeight="1">
      <x:c r="A28" t="str">
        <x:v>INV-027</x:v>
      </x:c>
      <x:c r="B28" t="str">
        <x:v>P016</x:v>
      </x:c>
      <x:c r="C28" t="str">
        <x:v>2026-09-30</x:v>
      </x:c>
      <x:c r="D28" t="str">
        <x:v>2026-10-30</x:v>
      </x:c>
      <x:c r="E28" s="6" t="n">
        <x:v>1225</x:v>
      </x:c>
      <x:c r="F28" t="str">
        <x:v>Overdue</x:v>
      </x:c>
    </x:row>
    <x:row r="29" ht="21" customHeight="1">
      <x:c r="A29" t="str">
        <x:v>INV-028</x:v>
      </x:c>
      <x:c r="B29" t="str">
        <x:v>P021</x:v>
      </x:c>
      <x:c r="C29" t="str">
        <x:v>2026-10-10</x:v>
      </x:c>
      <x:c r="D29" t="str">
        <x:v>2026-11-09</x:v>
      </x:c>
      <x:c r="E29" s="6" t="n">
        <x:v>1400</x:v>
      </x:c>
      <x:c r="F29" t="str">
        <x:v>Paid</x:v>
      </x:c>
    </x:row>
    <x:row r="30" ht="21" customHeight="1">
      <x:c r="A30" t="str">
        <x:v>INV-029</x:v>
      </x:c>
      <x:c r="B30" t="str">
        <x:v>P002</x:v>
      </x:c>
      <x:c r="C30" t="str">
        <x:v>2026-10-20</x:v>
      </x:c>
      <x:c r="D30" t="str">
        <x:v>2026-11-19</x:v>
      </x:c>
      <x:c r="E30" s="6" t="n">
        <x:v>1575</x:v>
      </x:c>
      <x:c r="F30" t="str">
        <x:v>Paid</x:v>
      </x:c>
    </x:row>
    <x:row r="31" ht="21" customHeight="1">
      <x:c r="A31" t="str">
        <x:v>INV-030</x:v>
      </x:c>
      <x:c r="B31" t="str">
        <x:v>P007</x:v>
      </x:c>
      <x:c r="C31" t="str">
        <x:v>2026-10-30</x:v>
      </x:c>
      <x:c r="D31" t="str">
        <x:v>2026-11-29</x:v>
      </x:c>
      <x:c r="E31" s="6" t="n">
        <x:v>1750</x:v>
      </x:c>
      <x:c r="F31" t="str">
        <x:v>Outstanding</x:v>
      </x:c>
    </x:row>
  </x:sheetData>
  <x:dataValidations count="1">
    <x:dataValidation type="list" sqref="F2:F100">
      <x:formula1>"Paid,Outstanding,Overdue"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8" t="str">
        <x:v>FREELANCE BUSINESS COMMAND CENTER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8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9" customHeight="1">
      <x:c r="A3" s="11" t="str">
        <x:v>Sample data • 2026 | Clients · Projects · Timesheets · Invoices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0" customHeight="1">
      <x:c r="A5" s="14" t="str">
        <x:v>CLIENTS</x:v>
      </x:c>
      <x:c r="B5" s="10"/>
      <x:c r="D5" s="14" t="str">
        <x:v>PROJECTS</x:v>
      </x:c>
      <x:c r="E5" s="10"/>
      <x:c r="G5" s="14" t="str">
        <x:v>HOURS TRACKED</x:v>
      </x:c>
      <x:c r="H5" s="10"/>
    </x:row>
    <x:row r="6" ht="30" customHeight="1">
      <x:c r="A6" s="16" t="n">
        <x:f>COUNTA(Clients!A2:A100)</x:f>
        <x:v>8</x:v>
      </x:c>
      <x:c r="B6" s="10"/>
      <x:c r="D6" s="16" t="n">
        <x:f>COUNTA(Projects!A2:A100)</x:f>
        <x:v>24</x:v>
      </x:c>
      <x:c r="E6" s="10"/>
      <x:c r="G6" s="16" t="n">
        <x:f>SUM(Timesheets!D2:D200)</x:f>
        <x:v>312</x:v>
      </x:c>
      <x:c r="H6" s="10"/>
    </x:row>
    <x:row r="9" ht="30" customHeight="1">
      <x:c r="A9" s="14" t="str">
        <x:v>BILLABLE VALUE EUR</x:v>
      </x:c>
      <x:c r="B9" s="10"/>
      <x:c r="D9" s="14" t="str">
        <x:v>COLLECTED EUR</x:v>
      </x:c>
      <x:c r="E9" s="10"/>
      <x:c r="G9" s="14" t="str">
        <x:v>OVERDUE EUR</x:v>
      </x:c>
      <x:c r="H9" s="10"/>
    </x:row>
    <x:row r="10" ht="30" customHeight="1">
      <x:c r="A10" s="16" t="n">
        <x:f>SUM(Timesheets!F2:F200)</x:f>
        <x:v>33622.5</x:v>
      </x:c>
      <x:c r="B10" s="10"/>
      <x:c r="D10" s="16" t="n">
        <x:f>SUMIF(Invoices!F2:F100,"Paid",Invoices!E2:E100)</x:f>
        <x:v>18900</x:v>
      </x:c>
      <x:c r="E10" s="10"/>
      <x:c r="G10" s="16" t="n">
        <x:f>SUMIF(Invoices!F2:F100,"Overdue",Invoices!E2:E100)</x:f>
        <x:v>7350</x:v>
      </x:c>
      <x:c r="H10" s="10"/>
    </x:row>
    <x:row r="15">
      <x:c r="A15" s="3" t="str">
        <x:v>Month</x:v>
      </x:c>
      <x:c r="B15" s="3" t="str">
        <x:v>Billable EUR</x:v>
      </x:c>
    </x:row>
    <x:row r="16">
      <x:c r="A16" t="str">
        <x:v>2026-01</x:v>
      </x:c>
      <x:c r="B16" t="n">
        <x:f>SUMIF(Timesheets!C$2:C$200,"2026-01*",Timesheets!F$2:F$200)</x:f>
        <x:v>0</x:v>
      </x:c>
    </x:row>
    <x:row r="17">
      <x:c r="A17" t="str">
        <x:v>2026-02</x:v>
      </x:c>
      <x:c r="B17" t="n">
        <x:f>SUMIF(Timesheets!C$2:C$200,"2026-02*",Timesheets!F$2:F$200)</x:f>
        <x:v>0</x:v>
      </x:c>
    </x:row>
    <x:row r="18">
      <x:c r="A18" t="str">
        <x:v>2026-03</x:v>
      </x:c>
      <x:c r="B18" t="n">
        <x:f>SUMIF(Timesheets!C$2:C$200,"2026-03*",Timesheets!F$2:F$200)</x:f>
        <x:v>0</x:v>
      </x:c>
    </x:row>
    <x:row r="19">
      <x:c r="A19" t="str">
        <x:v>2026-04</x:v>
      </x:c>
      <x:c r="B19" t="n">
        <x:f>SUMIF(Timesheets!C$2:C$200,"2026-04*",Timesheets!F$2:F$200)</x:f>
        <x:v>0</x:v>
      </x:c>
    </x:row>
    <x:row r="20">
      <x:c r="A20" t="str">
        <x:v>2026-05</x:v>
      </x:c>
      <x:c r="B20" t="n">
        <x:f>SUMIF(Timesheets!C$2:C$200,"2026-05*",Timesheets!F$2:F$200)</x:f>
        <x:v>0</x:v>
      </x:c>
    </x:row>
    <x:row r="21">
      <x:c r="A21" t="str">
        <x:v>2026-06</x:v>
      </x:c>
      <x:c r="B21" t="n">
        <x:f>SUMIF(Timesheets!C$2:C$200,"2026-06*",Timesheets!F$2:F$200)</x:f>
        <x:v>0</x:v>
      </x:c>
    </x:row>
    <x:row r="22">
      <x:c r="A22" t="str">
        <x:v>2026-07</x:v>
      </x:c>
      <x:c r="B22" t="n">
        <x:f>SUMIF(Timesheets!C$2:C$200,"2026-07*",Timesheets!F$2:F$200)</x:f>
        <x:v>0</x:v>
      </x:c>
    </x:row>
    <x:row r="23">
      <x:c r="A23" t="str">
        <x:v>2026-08</x:v>
      </x:c>
      <x:c r="B23" t="n">
        <x:f>SUMIF(Timesheets!C$2:C$200,"2026-08*",Timesheets!F$2:F$200)</x:f>
        <x:v>0</x:v>
      </x:c>
    </x:row>
    <x:row r="24">
      <x:c r="A24" t="str">
        <x:v>2026-09</x:v>
      </x:c>
      <x:c r="B24" t="n">
        <x:f>SUMIF(Timesheets!C$2:C$200,"2026-09*",Timesheets!F$2:F$200)</x:f>
        <x:v>0</x:v>
      </x:c>
    </x:row>
    <x:row r="25">
      <x:c r="A25" t="str">
        <x:v>2026-10</x:v>
      </x:c>
      <x:c r="B25" t="n">
        <x:f>SUMIF(Timesheets!C$2:C$200,"2026-10*",Timesheets!F$2:F$200)</x:f>
        <x:v>0</x:v>
      </x:c>
    </x:row>
    <x:row r="26">
      <x:c r="A26" t="str">
        <x:v>2026-11</x:v>
      </x:c>
      <x:c r="B26" t="n">
        <x:f>SUMIF(Timesheets!C$2:C$200,"2026-11*",Timesheets!F$2:F$200)</x:f>
        <x:v>0</x:v>
      </x:c>
    </x:row>
    <x:row r="27">
      <x:c r="A27" t="str">
        <x:v>2026-12</x:v>
      </x:c>
      <x:c r="B27" t="n">
        <x:f>SUMIF(Timesheets!C$2:C$200,"2026-12*",Timesheets!F$2:F$200)</x:f>
        <x:v>0</x:v>
      </x:c>
    </x:row>
  </x:sheetData>
  <x:mergeCells>
    <x:mergeCell ref="A1:J2"/>
    <x:mergeCell ref="A3:J3"/>
  </x:mergeCells>
  <x:pageMargins left="0.7" right="0.7" top="0.75" bottom="0.75" header="0.3" footer="0.3"/>
  <x:drawing xmlns:r="http://schemas.openxmlformats.org/officeDocument/2006/relationships" r:id="R39d3ca735bbe4cf7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21" customHeight="1">
      <x:c r="A1" s="3" t="str">
        <x:v>Section</x:v>
      </x:c>
      <x:c r="B1" s="3" t="str">
        <x:v>Instructions</x:v>
      </x:c>
    </x:row>
    <x:row r="2" ht="21" customHeight="1">
      <x:c r="A2" t="str">
        <x:v>Purpose</x:v>
      </x:c>
      <x:c r="B2" t="str">
        <x:v>Track clients, project delivery, work hours, and invoice collection.</x:v>
      </x:c>
    </x:row>
    <x:row r="3" ht="21" customHeight="1">
      <x:c r="A3" t="str">
        <x:v>Workflow</x:v>
      </x:c>
      <x:c r="B3" t="str">
        <x:v>Add a client, create a project, log time, and record invoices.</x:v>
      </x:c>
    </x:row>
    <x:row r="4" ht="21" customHeight="1">
      <x:c r="A4" t="str">
        <x:v>Editable inputs</x:v>
      </x:c>
      <x:c r="B4" t="str">
        <x:v>Clients, Projects, Timesheets columns A:E, Invoices.</x:v>
      </x:c>
    </x:row>
    <x:row r="5" ht="21" customHeight="1">
      <x:c r="A5" t="str">
        <x:v>Calculated values</x:v>
      </x:c>
      <x:c r="B5" t="str">
        <x:v>Timesheets column F and Dashboard metrics.</x:v>
      </x:c>
    </x:row>
    <x:row r="6" ht="21" customHeight="1">
      <x:c r="A6" t="str">
        <x:v>Dates</x:v>
      </x:c>
      <x:c r="B6" t="str">
        <x:v>Use ISO text dates YYYY-MM-DD. Monthly charts use month prefixes.</x:v>
      </x:c>
    </x:row>
    <x:row r="7" ht="21" customHeight="1">
      <x:c r="A7" t="str">
        <x:v>Publication</x:v>
      </x:c>
      <x:c r="B7" t="str">
        <x:v>Dataset and contact emails are entirely synthetic. Convert with Google Drive &gt; Open with Google Sheets.</x:v>
      </x:c>
    </x:row>
    <x:row r="8" ht="21" customHeight="1">
      <x:c r="A8" t="str">
        <x:v>Note</x:v>
      </x:c>
      <x:c r="B8" t="str">
        <x:v>The dashboard is a demonstration; no tax or accounting compliance implied.</x:v>
      </x:c>
    </x:row>
  </x:sheetData>
  <x:pageMargins left="0.7" right="0.7" top="0.75" bottom="0.75" header="0.3" footer="0.3"/>
</x:worksheet>
</file>